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ccounts" sheetId="2" state="visible" r:id="rId4"/>
    <sheet name="Tasks" sheetId="3" state="visible" r:id="rId5"/>
    <sheet name="Calls &amp; Meetings" sheetId="4" state="visible" r:id="rId6"/>
    <sheet name="Brag Book" sheetId="5" state="visible" r:id="rId7"/>
    <sheet name="Projects" sheetId="6" state="visible" r:id="rId8"/>
    <sheet name="Goals &amp; OKRs" sheetId="7" state="visible" r:id="rId9"/>
    <sheet name="Feedback Log" sheetId="8" state="visible" r:id="rId10"/>
    <sheet name="Weekly Review" sheetId="9" state="visible" r:id="rId11"/>
    <sheet name="How To Use" sheetId="10" state="visible" r:id="rId12"/>
  </sheets>
  <definedNames>
    <definedName function="false" hidden="true" localSheetId="1" name="_xlnm._FilterDatabase" vbProcedure="false">Accounts!$A$1:$T$100</definedName>
    <definedName function="false" hidden="true" localSheetId="4" name="_xlnm._FilterDatabase" vbProcedure="false">'Brag Book'!$A$1:$N$500</definedName>
    <definedName function="false" hidden="true" localSheetId="3" name="_xlnm._FilterDatabase" vbProcedure="false">'Calls &amp; Meetings'!$A$1:$L$500</definedName>
    <definedName function="false" hidden="true" localSheetId="7" name="_xlnm._FilterDatabase" vbProcedure="false">'Feedback Log'!$A$1:$H$200</definedName>
    <definedName function="false" hidden="true" localSheetId="6" name="_xlnm._FilterDatabase" vbProcedure="false">'Goals &amp; OKRs'!$A$1:$Q$50</definedName>
    <definedName function="false" hidden="true" localSheetId="5" name="_xlnm._FilterDatabase" vbProcedure="false">Projects!$A$1:$N$100</definedName>
    <definedName function="false" hidden="true" localSheetId="2" name="_xlnm._FilterDatabase" vbProcedure="false">Tasks!$A$1:$J$500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<sst xmlns="http://schemas.openxmlformats.org/spreadsheetml/2006/main" count="495" uniqueCount="362">
  <si>
    <t xml:space="preserve">CSM Operating System</t>
  </si>
  <si>
    <t xml:space="preserve">Dashboard — Slate &amp; TARDIS Blue Edition</t>
  </si>
  <si>
    <t xml:space="preserve">Total ARR</t>
  </si>
  <si>
    <t xml:space="preserve">Accounts</t>
  </si>
  <si>
    <t xml:space="preserve">Retention Rate</t>
  </si>
  <si>
    <t xml:space="preserve">Open Tasks</t>
  </si>
  <si>
    <t xml:space="preserve">Avg Health</t>
  </si>
  <si>
    <t xml:space="preserve">Wins This Qtr</t>
  </si>
  <si>
    <t xml:space="preserve">Upcoming Renewals</t>
  </si>
  <si>
    <t xml:space="preserve">Overdue Tasks</t>
  </si>
  <si>
    <t xml:space="preserve">Account Health Breakdown</t>
  </si>
  <si>
    <t xml:space="preserve">Upcoming Renewals (Next 90 Days)</t>
  </si>
  <si>
    <t xml:space="preserve">Health</t>
  </si>
  <si>
    <t xml:space="preserve">Count</t>
  </si>
  <si>
    <t xml:space="preserve">ARR</t>
  </si>
  <si>
    <t xml:space="preserve">% of Book</t>
  </si>
  <si>
    <t xml:space="preserve">Account</t>
  </si>
  <si>
    <t xml:space="preserve">Renewal Date</t>
  </si>
  <si>
    <t xml:space="preserve">Green 🟢</t>
  </si>
  <si>
    <t xml:space="preserve">Yellow 🟡</t>
  </si>
  <si>
    <t xml:space="preserve">Red 🔴</t>
  </si>
  <si>
    <t xml:space="preserve">Priority Tasks — Due This Week &amp; Overdue</t>
  </si>
  <si>
    <t xml:space="preserve">Task</t>
  </si>
  <si>
    <t xml:space="preserve">Status</t>
  </si>
  <si>
    <t xml:space="preserve">Priority</t>
  </si>
  <si>
    <t xml:space="preserve">Due Date</t>
  </si>
  <si>
    <t xml:space="preserve">Owner</t>
  </si>
  <si>
    <t xml:space="preserve">Source</t>
  </si>
  <si>
    <t xml:space="preserve">Notes</t>
  </si>
  <si>
    <t xml:space="preserve">← Data populates from the Tasks sheet. Sort by Due Date and filter for this week.</t>
  </si>
  <si>
    <t xml:space="preserve">Recent Wins (Last 30 Days)</t>
  </si>
  <si>
    <t xml:space="preserve">Win</t>
  </si>
  <si>
    <t xml:space="preserve">Date</t>
  </si>
  <si>
    <t xml:space="preserve">Category</t>
  </si>
  <si>
    <t xml:space="preserve">Revenue Impact</t>
  </si>
  <si>
    <t xml:space="preserve">Description</t>
  </si>
  <si>
    <t xml:space="preserve">← Data populates from the Brag Book sheet. Filter for last 30 days.</t>
  </si>
  <si>
    <t xml:space="preserve">Account Name</t>
  </si>
  <si>
    <t xml:space="preserve">Tier</t>
  </si>
  <si>
    <t xml:space="preserve">Health Score</t>
  </si>
  <si>
    <t xml:space="preserve">Stage</t>
  </si>
  <si>
    <t xml:space="preserve">CSM Owner</t>
  </si>
  <si>
    <t xml:space="preserve">Main Contact</t>
  </si>
  <si>
    <t xml:space="preserve">Secondary Contacts</t>
  </si>
  <si>
    <t xml:space="preserve">Industry</t>
  </si>
  <si>
    <t xml:space="preserve">Contract Start</t>
  </si>
  <si>
    <t xml:space="preserve">Contract Length</t>
  </si>
  <si>
    <t xml:space="preserve">Product/Plan</t>
  </si>
  <si>
    <t xml:space="preserve">Seats</t>
  </si>
  <si>
    <t xml:space="preserve">NPS Score</t>
  </si>
  <si>
    <t xml:space="preserve">Last QBR Date</t>
  </si>
  <si>
    <t xml:space="preserve">Next QBR Date</t>
  </si>
  <si>
    <t xml:space="preserve">Days to Renewal</t>
  </si>
  <si>
    <t xml:space="preserve">CRM Link</t>
  </si>
  <si>
    <t xml:space="preserve">Acme Corp</t>
  </si>
  <si>
    <t xml:space="preserve">Enterprise</t>
  </si>
  <si>
    <t xml:space="preserve">Expanding</t>
  </si>
  <si>
    <t xml:space="preserve">Jane Smith - VP Ops</t>
  </si>
  <si>
    <t xml:space="preserve">Tom Lee - Dir Eng</t>
  </si>
  <si>
    <t xml:space="preserve">Technology</t>
  </si>
  <si>
    <t xml:space="preserve">Annual</t>
  </si>
  <si>
    <t xml:space="preserve">Strong champion in Jane</t>
  </si>
  <si>
    <t xml:space="preserve">Globex Industries</t>
  </si>
  <si>
    <t xml:space="preserve">Mid-Market</t>
  </si>
  <si>
    <t xml:space="preserve">Adopting</t>
  </si>
  <si>
    <t xml:space="preserve">Mike Chen - Head of IT</t>
  </si>
  <si>
    <t xml:space="preserve">Sarah Park - PM</t>
  </si>
  <si>
    <t xml:space="preserve">Manufacturing</t>
  </si>
  <si>
    <t xml:space="preserve">Professional</t>
  </si>
  <si>
    <t xml:space="preserve">Usage dipped Feb — investigate</t>
  </si>
  <si>
    <t xml:space="preserve">Initech Solutions</t>
  </si>
  <si>
    <t xml:space="preserve">Renewing</t>
  </si>
  <si>
    <t xml:space="preserve">David Kim - COO</t>
  </si>
  <si>
    <t xml:space="preserve">Financial Services</t>
  </si>
  <si>
    <t xml:space="preserve">Smooth account</t>
  </si>
  <si>
    <t xml:space="preserve">Wonka Enterprises</t>
  </si>
  <si>
    <t xml:space="preserve">At-Risk</t>
  </si>
  <si>
    <t xml:space="preserve">Lisa Nguyen - CTO</t>
  </si>
  <si>
    <t xml:space="preserve">James Wright - VP Prod</t>
  </si>
  <si>
    <t xml:space="preserve">Consumer Goods</t>
  </si>
  <si>
    <t xml:space="preserve">2-Year</t>
  </si>
  <si>
    <t xml:space="preserve">Exec sponsor left. Recovery plan active.</t>
  </si>
  <si>
    <t xml:space="preserve">Stark Digital</t>
  </si>
  <si>
    <t xml:space="preserve">SMB</t>
  </si>
  <si>
    <t xml:space="preserve">Onboarding</t>
  </si>
  <si>
    <t xml:space="preserve">Peter Grant - Founder</t>
  </si>
  <si>
    <t xml:space="preserve">Starter</t>
  </si>
  <si>
    <t xml:space="preserve">New customer. Week 3 onboarding.</t>
  </si>
  <si>
    <t xml:space="preserve">Completed Date</t>
  </si>
  <si>
    <t xml:space="preserve">Send QBR recap email to Jane</t>
  </si>
  <si>
    <t xml:space="preserve">Not Started</t>
  </si>
  <si>
    <t xml:space="preserve">🟡 High</t>
  </si>
  <si>
    <t xml:space="preserve">Call</t>
  </si>
  <si>
    <t xml:space="preserve">Follow-up</t>
  </si>
  <si>
    <t xml:space="preserve">Include usage stats and expansion proposal</t>
  </si>
  <si>
    <t xml:space="preserve">Schedule exec sponsor intro call</t>
  </si>
  <si>
    <t xml:space="preserve">In Progress</t>
  </si>
  <si>
    <t xml:space="preserve">🔴 Urgent</t>
  </si>
  <si>
    <t xml:space="preserve">Internal</t>
  </si>
  <si>
    <t xml:space="preserve">New CTO needs relationship building ASAP</t>
  </si>
  <si>
    <t xml:space="preserve">Review usage analytics</t>
  </si>
  <si>
    <t xml:space="preserve">Research</t>
  </si>
  <si>
    <t xml:space="preserve">Pull last 60 days of login data</t>
  </si>
  <si>
    <t xml:space="preserve">Prepare renewal proposal</t>
  </si>
  <si>
    <t xml:space="preserve">🔵 Medium</t>
  </si>
  <si>
    <t xml:space="preserve">Deliverable</t>
  </si>
  <si>
    <t xml:space="preserve">Check multi-year discount options</t>
  </si>
  <si>
    <t xml:space="preserve">Complete Week 4 training</t>
  </si>
  <si>
    <t xml:space="preserve">Peter wants advanced reporting walkthrough</t>
  </si>
  <si>
    <t xml:space="preserve">Follow up on ticket #4521</t>
  </si>
  <si>
    <t xml:space="preserve">Waiting</t>
  </si>
  <si>
    <t xml:space="preserve">Support</t>
  </si>
  <si>
    <t xml:space="preserve">Customer Request</t>
  </si>
  <si>
    <t xml:space="preserve">Integration bug — Mike pinged twice</t>
  </si>
  <si>
    <t xml:space="preserve">Share product roadmap preview</t>
  </si>
  <si>
    <t xml:space="preserve">⚪ Low</t>
  </si>
  <si>
    <t xml:space="preserve">QBR</t>
  </si>
  <si>
    <t xml:space="preserve">Jane asked about API improvements</t>
  </si>
  <si>
    <t xml:space="preserve">Draft escalation doc</t>
  </si>
  <si>
    <t xml:space="preserve">Need VP sign-off on recovery plan</t>
  </si>
  <si>
    <t xml:space="preserve">Send NPS survey</t>
  </si>
  <si>
    <t xml:space="preserve">90 days since last survey</t>
  </si>
  <si>
    <t xml:space="preserve">Connect Peter with community</t>
  </si>
  <si>
    <t xml:space="preserve">Ad-hoc</t>
  </si>
  <si>
    <t xml:space="preserve">Wants to meet other users in his industry</t>
  </si>
  <si>
    <t xml:space="preserve">Meeting Title</t>
  </si>
  <si>
    <t xml:space="preserve">Type</t>
  </si>
  <si>
    <t xml:space="preserve">Attendees</t>
  </si>
  <si>
    <t xml:space="preserve">Agenda</t>
  </si>
  <si>
    <t xml:space="preserve">Discussion Notes</t>
  </si>
  <si>
    <t xml:space="preserve">Key Takeaways</t>
  </si>
  <si>
    <t xml:space="preserve">Sentiment</t>
  </si>
  <si>
    <t xml:space="preserve">Follow-up Date</t>
  </si>
  <si>
    <t xml:space="preserve">Follow-up Done</t>
  </si>
  <si>
    <t xml:space="preserve">Recording Link</t>
  </si>
  <si>
    <t xml:space="preserve">Acme Corp - QBR - Q1</t>
  </si>
  <si>
    <t xml:space="preserve">Jane Smith, Tom Lee; Me, Sarah Collins</t>
  </si>
  <si>
    <t xml:space="preserve">Q1 review, usage, roadmap, expansion</t>
  </si>
  <si>
    <t xml:space="preserve">Usage up 12%. Jane happy with reporting. Tom asked about API. London expansion on track.</t>
  </si>
  <si>
    <t xml:space="preserve">Strong champion. API roadmap matters to Tom.</t>
  </si>
  <si>
    <t xml:space="preserve">😊 Positive</t>
  </si>
  <si>
    <t xml:space="preserve">Yes</t>
  </si>
  <si>
    <t xml:space="preserve">Globex - Check-in</t>
  </si>
  <si>
    <t xml:space="preserve">Check-in</t>
  </si>
  <si>
    <t xml:space="preserve">Mike Chen; Me</t>
  </si>
  <si>
    <t xml:space="preserve">Usage dip, ticket status</t>
  </si>
  <si>
    <t xml:space="preserve">Restructuring caused usage drop. 3 people moved depts. Need new onboarding. Ticket #4521 still open.</t>
  </si>
  <si>
    <t xml:space="preserve">People change, not product issue. Push on ticket.</t>
  </si>
  <si>
    <t xml:space="preserve">😟 Concerned</t>
  </si>
  <si>
    <t xml:space="preserve">No</t>
  </si>
  <si>
    <t xml:space="preserve">Wonka - Escalation</t>
  </si>
  <si>
    <t xml:space="preserve">Escalation</t>
  </si>
  <si>
    <t xml:space="preserve">Lisa Nguyen, James Wright; Me, Rachel Torres</t>
  </si>
  <si>
    <t xml:space="preserve">CTO concerns, recovery plan</t>
  </si>
  <si>
    <t xml:space="preserve">Lisa wants hard ROI in 30 days or evaluating alternatives. James sympathetic but not decision maker.</t>
  </si>
  <si>
    <t xml:space="preserve">30-day window. Build relationship with Lisa.</t>
  </si>
  <si>
    <t xml:space="preserve">😠 Negative</t>
  </si>
  <si>
    <t xml:space="preserve">Stark Digital - Onboarding Wk2</t>
  </si>
  <si>
    <t xml:space="preserve">Peter Grant; Me</t>
  </si>
  <si>
    <t xml:space="preserve">Core training, setup review</t>
  </si>
  <si>
    <t xml:space="preserve">Peter very hands-on, already 80% configured. Breezed through training. Wants advanced reporting.</t>
  </si>
  <si>
    <t xml:space="preserve">Power user. Accelerate onboarding.</t>
  </si>
  <si>
    <t xml:space="preserve">Initech - Renewal Check-in</t>
  </si>
  <si>
    <t xml:space="preserve">David Kim; Me</t>
  </si>
  <si>
    <t xml:space="preserve">Renewal, satisfaction, reference</t>
  </si>
  <si>
    <t xml:space="preserve">Happy. Standard renewal agreed. Volunteered as reference. Compliance team expansion possible.</t>
  </si>
  <si>
    <t xml:space="preserve">Easy renewal. David is an advocate.</t>
  </si>
  <si>
    <t xml:space="preserve">Win Title</t>
  </si>
  <si>
    <t xml:space="preserve">Problem</t>
  </si>
  <si>
    <t xml:space="preserve">Action Taken</t>
  </si>
  <si>
    <t xml:space="preserve">Result</t>
  </si>
  <si>
    <t xml:space="preserve">Metrics</t>
  </si>
  <si>
    <t xml:space="preserve">Who Was Involved</t>
  </si>
  <si>
    <t xml:space="preserve">Review Ready</t>
  </si>
  <si>
    <t xml:space="preserve">Quarter</t>
  </si>
  <si>
    <t xml:space="preserve">Theme</t>
  </si>
  <si>
    <t xml:space="preserve">Saved at-risk renewal via exec realignment</t>
  </si>
  <si>
    <t xml:space="preserve">Retention</t>
  </si>
  <si>
    <t xml:space="preserve">Built business case showing 34% efficiency gain, presented to CFO. Secured 2-year renewal with 10% uplift.</t>
  </si>
  <si>
    <t xml:space="preserve">Budget review flagged contract for cuts</t>
  </si>
  <si>
    <t xml:space="preserve">Built ROI case, presented to CFO directly, negotiated 2-year term</t>
  </si>
  <si>
    <t xml:space="preserve">Renewal secured at $132K/yr</t>
  </si>
  <si>
    <t xml:space="preserve">ARR retained: $120K. New: $132K (10% up)</t>
  </si>
  <si>
    <t xml:space="preserve">AE: Sarah Collins, SE: Dev Patel</t>
  </si>
  <si>
    <t xml:space="preserve">Q1-2026</t>
  </si>
  <si>
    <t xml:space="preserve">Revenue Retention</t>
  </si>
  <si>
    <t xml:space="preserve">Drove adoption 40% → 78%</t>
  </si>
  <si>
    <t xml:space="preserve">Adoption</t>
  </si>
  <si>
    <t xml:space="preserve">Identified training gap for manufacturing floor. Created quick-start guide, ran 3 sessions.</t>
  </si>
  <si>
    <t xml:space="preserve">Low adoption from untrained floor team</t>
  </si>
  <si>
    <t xml:space="preserve">Custom guide + 3 targeted training sessions</t>
  </si>
  <si>
    <t xml:space="preserve">DAU 30→59, adoption 40%→78%</t>
  </si>
  <si>
    <t xml:space="preserve">Support tickets dropped 45%</t>
  </si>
  <si>
    <t xml:space="preserve">Support team</t>
  </si>
  <si>
    <t xml:space="preserve">Q4-2025</t>
  </si>
  <si>
    <t xml:space="preserve">Customer Outcomes</t>
  </si>
  <si>
    <t xml:space="preserve">Landed London office expansion</t>
  </si>
  <si>
    <t xml:space="preserve">Expansion</t>
  </si>
  <si>
    <t xml:space="preserve">Arranged pilot for London team using competitor. Migration support led to 40-seat expansion.</t>
  </si>
  <si>
    <t xml:space="preserve">London team using competitor product</t>
  </si>
  <si>
    <t xml:space="preserve">Pilot program, migration support, custom proposal</t>
  </si>
  <si>
    <t xml:space="preserve">$48K ARR added, 40 seats</t>
  </si>
  <si>
    <t xml:space="preserve">Displaced competitor in London office</t>
  </si>
  <si>
    <t xml:space="preserve">AE: Sarah Collins, Tom Lee</t>
  </si>
  <si>
    <t xml:space="preserve">Q3-2025</t>
  </si>
  <si>
    <t xml:space="preserve">Revenue Growth</t>
  </si>
  <si>
    <t xml:space="preserve">Built QBR template for CS team</t>
  </si>
  <si>
    <t xml:space="preserve">Process</t>
  </si>
  <si>
    <t xml:space="preserve">Noticed inconsistent QBR quality. Built standardized template adopted by all 8 CSMs.</t>
  </si>
  <si>
    <t xml:space="preserve">QBR quality inconsistent across team</t>
  </si>
  <si>
    <t xml:space="preserve">Built template with prep checklist and follow-up framework</t>
  </si>
  <si>
    <t xml:space="preserve">All 8 CSMs adopted</t>
  </si>
  <si>
    <t xml:space="preserve">Quality scores: 3.2 → 4.1</t>
  </si>
  <si>
    <t xml:space="preserve">CS Manager: Rachel Torres</t>
  </si>
  <si>
    <t xml:space="preserve">Process &amp; Leadership</t>
  </si>
  <si>
    <t xml:space="preserve">Customer reference closed $500K deal</t>
  </si>
  <si>
    <t xml:space="preserve">Advocacy</t>
  </si>
  <si>
    <t xml:space="preserve">David volunteered as reference. His call with prospect COO directly influenced deal close.</t>
  </si>
  <si>
    <t xml:space="preserve">Enterprise prospect needed peer validation</t>
  </si>
  <si>
    <t xml:space="preserve">Facilitated reference call between David and prospect COO</t>
  </si>
  <si>
    <t xml:space="preserve">$500K deal closed</t>
  </si>
  <si>
    <t xml:space="preserve">David: 'best vendor relationship we have'</t>
  </si>
  <si>
    <t xml:space="preserve">Sales VP: Mark Jensen, AE: Chris Hoang</t>
  </si>
  <si>
    <t xml:space="preserve">Strategic Impact</t>
  </si>
  <si>
    <t xml:space="preserve">Project Name</t>
  </si>
  <si>
    <t xml:space="preserve">Start Date</t>
  </si>
  <si>
    <t xml:space="preserve">Target End Date</t>
  </si>
  <si>
    <t xml:space="preserve">Objectives</t>
  </si>
  <si>
    <t xml:space="preserve">Milestones</t>
  </si>
  <si>
    <t xml:space="preserve">Current Status Update</t>
  </si>
  <si>
    <t xml:space="preserve">Risks &amp; Blockers</t>
  </si>
  <si>
    <t xml:space="preserve">Outcome</t>
  </si>
  <si>
    <t xml:space="preserve">Lessons Learned</t>
  </si>
  <si>
    <t xml:space="preserve">Wonka Recovery Plan</t>
  </si>
  <si>
    <t xml:space="preserve">Active</t>
  </si>
  <si>
    <t xml:space="preserve">Internal Initiative</t>
  </si>
  <si>
    <t xml:space="preserve">High</t>
  </si>
  <si>
    <t xml:space="preserve">Prove ROI to new CTO within 30 days</t>
  </si>
  <si>
    <t xml:space="preserve">Wk1: Data pull. Wk2: Business case. Wk3: Exec meeting. Wk4: Decision.</t>
  </si>
  <si>
    <t xml:space="preserve">Business case in progress</t>
  </si>
  <si>
    <t xml:space="preserve">CTO may decide before plan completes</t>
  </si>
  <si>
    <t xml:space="preserve">Stark Digital Onboarding</t>
  </si>
  <si>
    <t xml:space="preserve">Full adoption within 90 days</t>
  </si>
  <si>
    <t xml:space="preserve">Day 30: Core features live. Day 60: Advanced features. Day 90: Value review.</t>
  </si>
  <si>
    <t xml:space="preserve">Week 3 — ahead of schedule</t>
  </si>
  <si>
    <t xml:space="preserve">None currently</t>
  </si>
  <si>
    <t xml:space="preserve">QBR Template Standardization</t>
  </si>
  <si>
    <t xml:space="preserve">Completed</t>
  </si>
  <si>
    <t xml:space="preserve">Playbook</t>
  </si>
  <si>
    <t xml:space="preserve">Medium</t>
  </si>
  <si>
    <t xml:space="preserve">Create consistent QBR experience across CS team</t>
  </si>
  <si>
    <t xml:space="preserve">Draft template. Pilot with 2 CSMs. Iterate. Roll out.</t>
  </si>
  <si>
    <t xml:space="preserve">Completed — adopted by all 8 CSMs</t>
  </si>
  <si>
    <t xml:space="preserve">Quality scores improved 3.2→4.1</t>
  </si>
  <si>
    <t xml:space="preserve">Get buy-in from 2 CSMs first before full rollout</t>
  </si>
  <si>
    <t xml:space="preserve">Goal</t>
  </si>
  <si>
    <t xml:space="preserve">Key Result 1</t>
  </si>
  <si>
    <t xml:space="preserve">KR1 Target</t>
  </si>
  <si>
    <t xml:space="preserve">KR1 Actual</t>
  </si>
  <si>
    <t xml:space="preserve">KR1 Progress</t>
  </si>
  <si>
    <t xml:space="preserve">Key Result 2</t>
  </si>
  <si>
    <t xml:space="preserve">KR2 Target</t>
  </si>
  <si>
    <t xml:space="preserve">KR2 Actual</t>
  </si>
  <si>
    <t xml:space="preserve">KR2 Progress</t>
  </si>
  <si>
    <t xml:space="preserve">Key Result 3</t>
  </si>
  <si>
    <t xml:space="preserve">KR3 Target</t>
  </si>
  <si>
    <t xml:space="preserve">KR3 Actual</t>
  </si>
  <si>
    <t xml:space="preserve">KR3 Progress</t>
  </si>
  <si>
    <t xml:space="preserve">Retain 95% of book ARR</t>
  </si>
  <si>
    <t xml:space="preserve">Personal</t>
  </si>
  <si>
    <t xml:space="preserve">Q2-2026</t>
  </si>
  <si>
    <t xml:space="preserve">Gross retention rate</t>
  </si>
  <si>
    <t xml:space="preserve">Zero unforced churn</t>
  </si>
  <si>
    <t xml:space="preserve">Save Wonka renewal</t>
  </si>
  <si>
    <t xml:space="preserve">At Risk</t>
  </si>
  <si>
    <t xml:space="preserve">Wonka is the wildcard</t>
  </si>
  <si>
    <t xml:space="preserve">Drive $100K in expansion revenue</t>
  </si>
  <si>
    <t xml:space="preserve">Expansion ARR closed</t>
  </si>
  <si>
    <t xml:space="preserve">Identify 3 expansion opps</t>
  </si>
  <si>
    <t xml:space="preserve">QBR-sourced expansions</t>
  </si>
  <si>
    <t xml:space="preserve">On Track</t>
  </si>
  <si>
    <t xml:space="preserve">Acme London already closed</t>
  </si>
  <si>
    <t xml:space="preserve">Improve team QBR quality</t>
  </si>
  <si>
    <t xml:space="preserve">Team</t>
  </si>
  <si>
    <t xml:space="preserve">QBR quality score avg</t>
  </si>
  <si>
    <t xml:space="preserve">Template adoption</t>
  </si>
  <si>
    <t xml:space="preserve">Peer feedback score</t>
  </si>
  <si>
    <t xml:space="preserve">Achieved</t>
  </si>
  <si>
    <t xml:space="preserve">Template rollout successful</t>
  </si>
  <si>
    <t xml:space="preserve">Feedback</t>
  </si>
  <si>
    <t xml:space="preserve">Source Name</t>
  </si>
  <si>
    <t xml:space="preserve">Resolved</t>
  </si>
  <si>
    <t xml:space="preserve">Great job navigating the Wonka escalation — keep leadership posted more frequently</t>
  </si>
  <si>
    <t xml:space="preserve">Manager</t>
  </si>
  <si>
    <t xml:space="preserve">Rachel Torres</t>
  </si>
  <si>
    <t xml:space="preserve">Constructive</t>
  </si>
  <si>
    <t xml:space="preserve">Communication</t>
  </si>
  <si>
    <t xml:space="preserve">Set up daily Slack updates during escalations</t>
  </si>
  <si>
    <t xml:space="preserve">Your QBR template is the best thing to happen to this team</t>
  </si>
  <si>
    <t xml:space="preserve">Peer</t>
  </si>
  <si>
    <t xml:space="preserve">Alex Mendez</t>
  </si>
  <si>
    <t xml:space="preserve">Positive</t>
  </si>
  <si>
    <t xml:space="preserve">Would love more proactive updates between check-ins</t>
  </si>
  <si>
    <t xml:space="preserve">Customer</t>
  </si>
  <si>
    <t xml:space="preserve">David Kim (Initech)</t>
  </si>
  <si>
    <t xml:space="preserve">Added monthly async email updates for all accounts</t>
  </si>
  <si>
    <t xml:space="preserve">Strong cross-functional collaboration on the Acme expansion</t>
  </si>
  <si>
    <t xml:space="preserve">Cross-functional</t>
  </si>
  <si>
    <t xml:space="preserve">Weekly Review</t>
  </si>
  <si>
    <t xml:space="preserve">Week of:</t>
  </si>
  <si>
    <t xml:space="preserve">✅ What I accomplished this week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</si>
  <si>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</si>
  <si>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</si>
  <si>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</si>
  <si>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</si>
  <si>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</si>
  <si>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🏆 Wins worth logging</t>
  </si>
  <si>
    <t xml:space="preserve">Impact</t>
  </si>
  <si>
    <t xml:space="preserve">Add to Brag Book?</t>
  </si>
  <si>
    <t xml:space="preserve">📊 Account health changes</t>
  </si>
  <si>
    <t xml:space="preserve">Old Status</t>
  </si>
  <si>
    <t xml:space="preserve">New Status</t>
  </si>
  <si>
    <t xml:space="preserve">Reason</t>
  </si>
  <si>
    <t xml:space="preserve">🎯 Top 3 priorities for next week</t>
  </si>
  <si>
    <t xml:space="preserve">💭 Notes to self</t>
  </si>
  <si>
    <t xml:space="preserve">CSM Operating System — Quick Start Guide</t>
  </si>
  <si>
    <t xml:space="preserve">GETTING STARTED</t>
  </si>
  <si>
    <t xml:space="preserve">1. Start with the Accounts tab. Replace the sample data with your real accounts.</t>
  </si>
  <si>
    <t xml:space="preserve">2. Move to Tasks. Add your current action items. Use the dropdowns for Status and Priority.</t>
  </si>
  <si>
    <t xml:space="preserve">3. The Dashboard will auto-populate as you add data to other sheets.</t>
  </si>
  <si>
    <t xml:space="preserve">4. Log every customer call in the Calls &amp; Meetings tab — even quick ones.</t>
  </si>
  <si>
    <t xml:space="preserve">5. Start your Brag Book immediately. Don't wait for review season.</t>
  </si>
  <si>
    <t xml:space="preserve">DAILY HABITS (5 min)</t>
  </si>
  <si>
    <t xml:space="preserve">• Check your Tasks tab filtered by Due Date = Today</t>
  </si>
  <si>
    <t xml:space="preserve">• Log any calls/meetings after they happen</t>
  </si>
  <si>
    <t xml:space="preserve">• Add action items from calls immediately</t>
  </si>
  <si>
    <t xml:space="preserve">WEEKLY HABITS (15 min)</t>
  </si>
  <si>
    <t xml:space="preserve">• Use the Weekly Review tab every Friday</t>
  </si>
  <si>
    <t xml:space="preserve">• Log any wins in the Brag Book</t>
  </si>
  <si>
    <t xml:space="preserve">• Update blocked tasks</t>
  </si>
  <si>
    <t xml:space="preserve">• Check next week's upcoming calls</t>
  </si>
  <si>
    <t xml:space="preserve">MONTHLY HABITS (30 min)</t>
  </si>
  <si>
    <t xml:space="preserve">• Update account health scores</t>
  </si>
  <si>
    <t xml:space="preserve">• Review project statuses</t>
  </si>
  <si>
    <t xml:space="preserve">• Clean up completed/stale tasks</t>
  </si>
  <si>
    <t xml:space="preserve">• Check renewal timelines on Dashboard</t>
  </si>
  <si>
    <t xml:space="preserve">REVIEW SEASON</t>
  </si>
  <si>
    <t xml:space="preserve">• Filter Brag Book by 'Review Ready = Yes'</t>
  </si>
  <si>
    <t xml:space="preserve">• Sort by Revenue Impact to find your top wins</t>
  </si>
  <si>
    <t xml:space="preserve">• Group wins by Theme for your self-assessment narrative</t>
  </si>
  <si>
    <t xml:space="preserve">• Check Feedback Log for growth areas to address</t>
  </si>
  <si>
    <t xml:space="preserve">TIPS</t>
  </si>
  <si>
    <t xml:space="preserve">• Every sheet has filters — use them. Click the dropdown arrows in the header row.</t>
  </si>
  <si>
    <t xml:space="preserve">• Dropdowns are built into Status, Priority, Health, and other fields. Click a cell to see options.</t>
  </si>
  <si>
    <t xml:space="preserve">• Conditional formatting is pre-set: red/yellow/green highlights appear automatically.</t>
  </si>
  <si>
    <t xml:space="preserve">• Freeze panes are on — headers stay visible as you scroll.</t>
  </si>
  <si>
    <t xml:space="preserve">• The Dashboard formulas reference other sheets. Don't rename sheet tabs or formulas will break.</t>
  </si>
  <si>
    <t xml:space="preserve">COLOR GUIDE</t>
  </si>
  <si>
    <t xml:space="preserve">• Green background = healthy / complete / positive</t>
  </si>
  <si>
    <t xml:space="preserve">• Yellow background = caution / in progress / constructive</t>
  </si>
  <si>
    <t xml:space="preserve">• Red background = at risk / urgent / negative</t>
  </si>
  <si>
    <t xml:space="preserve">• Blue accents = TARDIS blue theme elements (navigation, headers, KPI highlights)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</si>
</sst>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$#,##0"/>
    <numFmt numFmtId="167" formatCode="0%"/>
    <numFmt numFmtId="168" formatCode="mmm\ d&quot;, &quot;yyyy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3B6F"/>
      <name val="Arial"/>
      <family val="0"/>
      <charset val="1"/>
    </font>
    <font>
      <sz val="10"/>
      <color rgb="FFA0AEC0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20"/>
      <color rgb="FF2B36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3B6F"/>
      <name val="Arial"/>
      <family val="0"/>
      <charset val="1"/>
    </font>
    <font>
      <sz val="10"/>
      <color rgb="FF2B3640"/>
      <name val="Arial"/>
      <family val="0"/>
      <charset val="1"/>
    </font>
    <font>
      <i val="true"/>
      <sz val="9"/>
      <color rgb="FFA0AEC0"/>
      <name val="Arial"/>
      <family val="0"/>
      <charset val="1"/>
    </font>
    <font>
      <b val="true"/>
      <sz val="18"/>
      <color rgb="FF003B6F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14"/>
      <color rgb="FF003B6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7F8FA"/>
      </patternFill>
    </fill>
    <fill>
      <patternFill patternType="solid">
        <fgColor rgb="FF003B6F"/>
        <bgColor rgb="FF2B3640"/>
      </patternFill>
    </fill>
    <fill>
      <patternFill patternType="solid">
        <fgColor rgb="FFD4E6F6"/>
        <bgColor rgb="FFE2E8F0"/>
      </patternFill>
    </fill>
    <fill>
      <patternFill patternType="solid">
        <fgColor rgb="FFF7F8FA"/>
        <bgColor rgb="FFFFFFFF"/>
      </patternFill>
    </fill>
    <fill>
      <patternFill patternType="solid">
        <fgColor rgb="FF2B3640"/>
        <bgColor rgb="FF33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003B6F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medium">
        <color rgb="FF1A5C99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medium">
        <color rgb="FF003B6F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medium">
        <color rgb="FF1A5C99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B3640"/>
          <bgColor rgb="FF000000"/>
        </patternFill>
      </fill>
    </dxf>
    <dxf>
      <fill>
        <patternFill patternType="solid">
          <fgColor rgb="FFF7F8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F6D5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FCBF"/>
          <bgColor rgb="FF000000"/>
        </patternFill>
      </fill>
    </dxf>
    <dxf>
      <fill>
        <patternFill patternType="solid">
          <fgColor rgb="FF975A16"/>
          <bgColor rgb="FF000000"/>
        </patternFill>
      </fill>
    </dxf>
    <dxf>
      <fill>
        <patternFill patternType="solid">
          <fgColor rgb="FFC53030"/>
          <bgColor rgb="FF000000"/>
        </patternFill>
      </fill>
    </dxf>
    <dxf>
      <fill>
        <patternFill>
          <bgColor rgb="FFC6F6D5"/>
        </patternFill>
      </fill>
    </dxf>
    <dxf>
      <fill>
        <patternFill>
          <bgColor rgb="FFFEFCBF"/>
        </patternFill>
      </fill>
    </dxf>
    <dxf>
      <fill>
        <patternFill>
          <bgColor rgb="FFFED7D7"/>
        </patternFill>
      </fill>
    </dxf>
    <dxf>
      <font>
        <color rgb="FFC53030"/>
      </font>
      <fill>
        <patternFill>
          <bgColor rgb="FFFED7D7"/>
        </patternFill>
      </fill>
    </dxf>
    <dxf>
      <font>
        <color rgb="FF975A16"/>
      </font>
      <fill>
        <patternFill>
          <bgColor rgb="FFFEFCBF"/>
        </patternFill>
      </fill>
    </dxf>
    <dxf>
      <fill>
        <patternFill patternType="solid">
          <fgColor rgb="FFD4E6F6"/>
          <bgColor rgb="FF000000"/>
        </patternFill>
      </fill>
    </dxf>
    <dxf>
      <fill>
        <patternFill>
          <bgColor rgb="FFD4E6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75A16"/>
      <rgbColor rgb="FF800080"/>
      <rgbColor rgb="FF008080"/>
      <rgbColor rgb="FFA0AEC0"/>
      <rgbColor rgb="FF808080"/>
      <rgbColor rgb="FF5B9BD5"/>
      <rgbColor rgb="FF993366"/>
      <rgbColor rgb="FFFEFCBF"/>
      <rgbColor rgb="FFD4E6F6"/>
      <rgbColor rgb="FF660066"/>
      <rgbColor rgb="FFFF8080"/>
      <rgbColor rgb="FF1A5C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6F6D5"/>
      <rgbColor rgb="FFF7F8FA"/>
      <rgbColor rgb="FF99CCFF"/>
      <rgbColor rgb="FFFF99CC"/>
      <rgbColor rgb="FFCC99FF"/>
      <rgbColor rgb="FFFED7D7"/>
      <rgbColor rgb="FF3366FF"/>
      <rgbColor rgb="FF33CCCC"/>
      <rgbColor rgb="FF99CC00"/>
      <rgbColor rgb="FFECC94B"/>
      <rgbColor rgb="FFFF9900"/>
      <rgbColor rgb="FFFF6600"/>
      <rgbColor rgb="FF4A5568"/>
      <rgbColor rgb="FF969696"/>
      <rgbColor rgb="FF003B6F"/>
      <rgbColor rgb="FF48BB78"/>
      <rgbColor rgb="FF003300"/>
      <rgbColor rgb="FF333300"/>
      <rgbColor rgb="FFC53030"/>
      <rgbColor rgb="FF993366"/>
      <rgbColor rgb="FF333399"/>
      <rgbColor rgb="FF2B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B6F"/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8"/>
    <col collapsed="false" customWidth="true" hidden="false" outlineLevel="0" max="10" min="10" style="0" width="2"/>
  </cols>
  <sheetData>
    <row r="1" customFormat="false" ht="21.7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4" t="s">
        <v>7</v>
      </c>
      <c r="H5" s="3" t="s">
        <v>8</v>
      </c>
      <c r="I5" s="4" t="s">
        <v>9</v>
      </c>
    </row>
    <row r="6" customFormat="false" ht="36" hidden="false" customHeight="true" outlineLevel="0" collapsed="false">
      <c r="B6" s="5" t="n">
        <f aca="false">SUM(Accounts!C2:C100)</f>
        <v>480000</v>
      </c>
      <c r="C6" s="6" t="n">
        <f aca="false">COUNTA(Accounts!A2:A100)</f>
        <v>5</v>
      </c>
      <c r="D6" s="5" t="str">
        <f aca="false">TEXT(1-(COUNTIF(Accounts!F2:F100,"Churned")/COUNTA(Accounts!A2:A100)),"0%")</f>
        <v>100%</v>
      </c>
      <c r="E6" s="6" t="n">
        <f aca="false">COUNTIF(Tasks!C2:C500,"&lt;&gt;Done")</f>
        <v>499</v>
      </c>
      <c r="F6" s="5" t="n">
        <f aca="false">IF(COUNTA(Accounts!A2:A100)&gt;0,ROUND((COUNTIF(Accounts!E2:E100,"Green 🟢")*3+COUNTIF(Accounts!E2:E100,"Yellow 🟡")*2+COUNTIF(Accounts!E2:E100,"Red 🔴")*1)/COUNTA(Accounts!A2:A100),1),0)</f>
        <v>2.4</v>
      </c>
      <c r="G6" s="6" t="n">
        <f aca="true">COUNTIFS('Brag Book'!C2:C500,"&gt;="&amp;DATE(YEAR(TODAY()),IF(MONTH(TODAY())&lt;=3,1,IF(MONTH(TODAY())&lt;=6,4,IF(MONTH(TODAY())&lt;=9,7,10))),1),'Brag Book'!C2:C500,"&lt;="&amp;TODAY())</f>
        <v>0</v>
      </c>
      <c r="H6" s="5" t="n">
        <f aca="true">COUNTIFS(Accounts!D2:D100,"&gt;="&amp;TODAY(),Accounts!D2:D100,"&lt;="&amp;TODAY()+90)</f>
        <v>2</v>
      </c>
      <c r="I6" s="6" t="n">
        <f aca="true">COUNTIFS(Tasks!E2:E500,"&lt;"&amp;TODAY(),Tasks!C2:C500,"&lt;&gt;Done")</f>
        <v>0</v>
      </c>
    </row>
    <row r="7" customFormat="false" ht="21.75" hidden="false" customHeight="true" outlineLevel="0" collapsed="false"/>
    <row r="8" customFormat="false" ht="21.75" hidden="false" customHeight="true" outlineLevel="0" collapsed="false"/>
    <row r="9" customFormat="false" ht="21.75" hidden="false" customHeight="true" outlineLevel="0" collapsed="false">
      <c r="B9" s="7" t="s">
        <v>10</v>
      </c>
      <c r="C9" s="7"/>
      <c r="D9" s="7"/>
      <c r="E9" s="7"/>
      <c r="F9" s="7" t="s">
        <v>11</v>
      </c>
      <c r="G9" s="7"/>
      <c r="H9" s="7"/>
      <c r="I9" s="7"/>
    </row>
    <row r="10" customFormat="false" ht="21.75" hidden="false" customHeight="true" outlineLevel="0" collapsed="false"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14</v>
      </c>
      <c r="H10" s="8" t="s">
        <v>17</v>
      </c>
      <c r="I10" s="8" t="s">
        <v>12</v>
      </c>
    </row>
    <row r="11" customFormat="false" ht="21.75" hidden="false" customHeight="true" outlineLevel="0" collapsed="false">
      <c r="A11" s="9"/>
      <c r="B11" s="9" t="s">
        <v>18</v>
      </c>
      <c r="C11" s="9" t="n">
        <f aca="false">COUNTIF(Accounts!E2:E100,"Green 🟢")</f>
        <v>3</v>
      </c>
      <c r="D11" s="10" t="n">
        <f aca="false">SUMIF(Accounts!E2:E100,"Green 🟢",Accounts!C2:C100)</f>
        <v>195000</v>
      </c>
      <c r="E11" s="11" t="n">
        <f aca="false">IF(SUM(Accounts!C2:C100)&gt;0,C11/SUM(Accounts!C2:C100),0)</f>
        <v>6.25E-006</v>
      </c>
      <c r="F11" s="12" t="str">
        <f aca="true">IFERROR(INDEX(Accounts!A2:A100,MATCH(SMALL(IF((Accounts!D2:D100&gt;=TODAY())*(Accounts!D2:D100&lt;=TODAY()+90),Accounts!D2:D100),1),Accounts!D2:D100,0)),"")</f>
        <v/>
      </c>
      <c r="G11" s="13" t="str">
        <f aca="true">IFERROR(INDEX(Accounts!C2:C100,MATCH(SMALL(IF((Accounts!D2:D100&gt;=TODAY())*(Accounts!D2:D100&lt;=TODAY()+90),Accounts!D2:D100),1),Accounts!D2:D100,0)),"")</f>
        <v/>
      </c>
      <c r="H11" s="14" t="str">
        <f aca="true">IFERROR(INDEX(Accounts!D2:D100,MATCH(SMALL(IF((Accounts!D2:D100&gt;=TODAY())*(Accounts!D2:D100&lt;=TODAY()+90),Accounts!D2:D100),1),Accounts!D2:D100,0)),"")</f>
        <v/>
      </c>
      <c r="I11" s="12" t="str">
        <f aca="true">IFERROR(INDEX(Accounts!E2:E100,MATCH(SMALL(IF((Accounts!D2:D100&gt;=TODAY())*(Accounts!D2:D100&lt;=TODAY()+90),Accounts!D2:D100),1),Accounts!D2:D100,0)),"")</f>
        <v/>
      </c>
    </row>
    <row r="12" customFormat="false" ht="21.75" hidden="false" customHeight="true" outlineLevel="0" collapsed="false">
      <c r="A12" s="15"/>
      <c r="B12" s="15" t="s">
        <v>19</v>
      </c>
      <c r="C12" s="15" t="n">
        <f aca="false">COUNTIF(Accounts!E2:E100,"Yellow 🟡")</f>
        <v>1</v>
      </c>
      <c r="D12" s="16" t="n">
        <f aca="false">SUMIF(Accounts!E2:E100,"Yellow 🟡",Accounts!C2:C100)</f>
        <v>85000</v>
      </c>
      <c r="E12" s="17" t="n">
        <f aca="false">IF(SUM(Accounts!C2:C100)&gt;0,C12/SUM(Accounts!C2:C100),0)</f>
        <v>2.08333333333333E-006</v>
      </c>
      <c r="F12" s="18" t="str">
        <f aca="true">IFERROR(INDEX(Accounts!A2:A100,MATCH(SMALL(IF((Accounts!D2:D100&gt;=TODAY())*(Accounts!D2:D100&lt;=TODAY()+90),Accounts!D2:D100),2),Accounts!D2:D100,0)),"")</f>
        <v/>
      </c>
      <c r="G12" s="19" t="str">
        <f aca="true">IFERROR(INDEX(Accounts!C2:C100,MATCH(SMALL(IF((Accounts!D2:D100&gt;=TODAY())*(Accounts!D2:D100&lt;=TODAY()+90),Accounts!D2:D100),2),Accounts!D2:D100,0)),"")</f>
        <v/>
      </c>
      <c r="H12" s="20" t="str">
        <f aca="true">IFERROR(INDEX(Accounts!D2:D100,MATCH(SMALL(IF((Accounts!D2:D100&gt;=TODAY())*(Accounts!D2:D100&lt;=TODAY()+90),Accounts!D2:D100),2),Accounts!D2:D100,0)),"")</f>
        <v/>
      </c>
      <c r="I12" s="18" t="str">
        <f aca="true">IFERROR(INDEX(Accounts!E2:E100,MATCH(SMALL(IF((Accounts!D2:D100&gt;=TODAY())*(Accounts!D2:D100&lt;=TODAY()+90),Accounts!D2:D100),2),Accounts!D2:D100,0)),"")</f>
        <v/>
      </c>
    </row>
    <row r="13" customFormat="false" ht="21.75" hidden="false" customHeight="true" outlineLevel="0" collapsed="false">
      <c r="A13" s="9"/>
      <c r="B13" s="9" t="s">
        <v>20</v>
      </c>
      <c r="C13" s="9" t="n">
        <f aca="false">COUNTIF(Accounts!E2:E100,"Red 🔴")</f>
        <v>1</v>
      </c>
      <c r="D13" s="10" t="n">
        <f aca="false">SUMIF(Accounts!E2:E100,"Red 🔴",Accounts!C2:C100)</f>
        <v>200000</v>
      </c>
      <c r="E13" s="11" t="n">
        <f aca="false">IF(SUM(Accounts!C2:C100)&gt;0,C13/SUM(Accounts!C2:C100),0)</f>
        <v>2.08333333333333E-006</v>
      </c>
      <c r="F13" s="12" t="str">
        <f aca="true">IFERROR(INDEX(Accounts!A2:A100,MATCH(SMALL(IF((Accounts!D2:D100&gt;=TODAY())*(Accounts!D2:D100&lt;=TODAY()+90),Accounts!D2:D100),3),Accounts!D2:D100,0)),"")</f>
        <v/>
      </c>
      <c r="G13" s="13" t="str">
        <f aca="true">IFERROR(INDEX(Accounts!C2:C100,MATCH(SMALL(IF((Accounts!D2:D100&gt;=TODAY())*(Accounts!D2:D100&lt;=TODAY()+90),Accounts!D2:D100),3),Accounts!D2:D100,0)),"")</f>
        <v/>
      </c>
      <c r="H13" s="14" t="str">
        <f aca="true">IFERROR(INDEX(Accounts!D2:D100,MATCH(SMALL(IF((Accounts!D2:D100&gt;=TODAY())*(Accounts!D2:D100&lt;=TODAY()+90),Accounts!D2:D100),3),Accounts!D2:D100,0)),"")</f>
        <v/>
      </c>
      <c r="I13" s="12" t="str">
        <f aca="true">IFERROR(INDEX(Accounts!E2:E100,MATCH(SMALL(IF((Accounts!D2:D100&gt;=TODAY())*(Accounts!D2:D100&lt;=TODAY()+90),Accounts!D2:D100),3),Accounts!D2:D100,0)),"")</f>
        <v/>
      </c>
    </row>
    <row r="14" customFormat="false" ht="21.75" hidden="false" customHeight="true" outlineLevel="0" collapsed="false">
      <c r="A14" s="15"/>
      <c r="B14" s="15"/>
      <c r="C14" s="15"/>
      <c r="D14" s="15"/>
      <c r="E14" s="15"/>
      <c r="F14" s="18" t="str">
        <f aca="true">IFERROR(INDEX(Accounts!A2:A100,MATCH(SMALL(IF((Accounts!D2:D100&gt;=TODAY())*(Accounts!D2:D100&lt;=TODAY()+90),Accounts!D2:D100),4),Accounts!D2:D100,0)),"")</f>
        <v/>
      </c>
      <c r="G14" s="19" t="str">
        <f aca="true">IFERROR(INDEX(Accounts!C2:C100,MATCH(SMALL(IF((Accounts!D2:D100&gt;=TODAY())*(Accounts!D2:D100&lt;=TODAY()+90),Accounts!D2:D100),4),Accounts!D2:D100,0)),"")</f>
        <v/>
      </c>
      <c r="H14" s="20" t="str">
        <f aca="true">IFERROR(INDEX(Accounts!D2:D100,MATCH(SMALL(IF((Accounts!D2:D100&gt;=TODAY())*(Accounts!D2:D100&lt;=TODAY()+90),Accounts!D2:D100),4),Accounts!D2:D100,0)),"")</f>
        <v/>
      </c>
      <c r="I14" s="18" t="str">
        <f aca="true">IFERROR(INDEX(Accounts!E2:E100,MATCH(SMALL(IF((Accounts!D2:D100&gt;=TODAY())*(Accounts!D2:D100&lt;=TODAY()+90),Accounts!D2:D100),4),Accounts!D2:D100,0)),"")</f>
        <v/>
      </c>
    </row>
    <row r="15" customFormat="false" ht="21.75" hidden="false" customHeight="true" outlineLevel="0" collapsed="false">
      <c r="A15" s="9"/>
      <c r="B15" s="9"/>
      <c r="C15" s="9"/>
      <c r="D15" s="9"/>
      <c r="E15" s="9"/>
      <c r="F15" s="12" t="str">
        <f aca="true">IFERROR(INDEX(Accounts!A2:A100,MATCH(SMALL(IF((Accounts!D2:D100&gt;=TODAY())*(Accounts!D2:D100&lt;=TODAY()+90),Accounts!D2:D100),5),Accounts!D2:D100,0)),"")</f>
        <v/>
      </c>
      <c r="G15" s="13" t="str">
        <f aca="true">IFERROR(INDEX(Accounts!C2:C100,MATCH(SMALL(IF((Accounts!D2:D100&gt;=TODAY())*(Accounts!D2:D100&lt;=TODAY()+90),Accounts!D2:D100),5),Accounts!D2:D100,0)),"")</f>
        <v/>
      </c>
      <c r="H15" s="14" t="str">
        <f aca="true">IFERROR(INDEX(Accounts!D2:D100,MATCH(SMALL(IF((Accounts!D2:D100&gt;=TODAY())*(Accounts!D2:D100&lt;=TODAY()+90),Accounts!D2:D100),5),Accounts!D2:D100,0)),"")</f>
        <v/>
      </c>
      <c r="I15" s="12" t="str">
        <f aca="true">IFERROR(INDEX(Accounts!E2:E100,MATCH(SMALL(IF((Accounts!D2:D100&gt;=TODAY())*(Accounts!D2:D100&lt;=TODAY()+90),Accounts!D2:D100),5),Accounts!D2:D100,0)),"")</f>
        <v/>
      </c>
    </row>
    <row r="16" customFormat="false" ht="21.75" hidden="false" customHeight="true" outlineLevel="0" collapsed="false">
      <c r="B16" s="7" t="s">
        <v>21</v>
      </c>
      <c r="C16" s="7"/>
      <c r="D16" s="7"/>
      <c r="E16" s="7"/>
      <c r="F16" s="7"/>
      <c r="G16" s="7"/>
      <c r="H16" s="7"/>
      <c r="I16" s="7"/>
    </row>
    <row r="17" customFormat="false" ht="21.75" hidden="false" customHeight="true" outlineLevel="0" collapsed="false">
      <c r="B17" s="8" t="s">
        <v>22</v>
      </c>
      <c r="C17" s="8" t="s">
        <v>16</v>
      </c>
      <c r="D17" s="8" t="s">
        <v>23</v>
      </c>
      <c r="E17" s="8" t="s">
        <v>24</v>
      </c>
      <c r="F17" s="8" t="s">
        <v>25</v>
      </c>
      <c r="G17" s="8" t="s">
        <v>26</v>
      </c>
      <c r="H17" s="8" t="s">
        <v>27</v>
      </c>
      <c r="I17" s="8" t="s">
        <v>28</v>
      </c>
    </row>
    <row r="18" customFormat="false" ht="21.75" hidden="false" customHeight="true" outlineLevel="0" collapsed="false">
      <c r="B18" s="21" t="s">
        <v>29</v>
      </c>
    </row>
    <row r="19" customFormat="false" ht="21.75" hidden="false" customHeight="true" outlineLevel="0" collapsed="false"/>
    <row r="20" customFormat="false" ht="21.75" hidden="false" customHeight="true" outlineLevel="0" collapsed="false">
      <c r="B20" s="7" t="s">
        <v>30</v>
      </c>
      <c r="C20" s="7"/>
      <c r="D20" s="7"/>
      <c r="E20" s="7"/>
      <c r="F20" s="7"/>
      <c r="G20" s="7"/>
      <c r="H20" s="7"/>
      <c r="I20" s="7"/>
    </row>
    <row r="21" customFormat="false" ht="21.75" hidden="false" customHeight="true" outlineLevel="0" collapsed="false">
      <c r="B21" s="8" t="s">
        <v>31</v>
      </c>
      <c r="C21" s="8" t="s">
        <v>16</v>
      </c>
      <c r="D21" s="8" t="s">
        <v>32</v>
      </c>
      <c r="E21" s="8" t="s">
        <v>33</v>
      </c>
      <c r="F21" s="8" t="s">
        <v>34</v>
      </c>
      <c r="G21" s="8" t="s">
        <v>35</v>
      </c>
      <c r="H21" s="8"/>
      <c r="I21" s="8"/>
    </row>
    <row r="22" customFormat="false" ht="21.75" hidden="false" customHeight="true" outlineLevel="0" collapsed="false">
      <c r="B22" s="21" t="s">
        <v>36</v>
      </c>
    </row>
    <row r="23" customFormat="false" ht="21.75" hidden="false" customHeight="true" outlineLevel="0" collapsed="false"/>
    <row r="24" customFormat="false" ht="21.75" hidden="false" customHeight="true" outlineLevel="0" collapsed="false"/>
  </sheetData>
  <mergeCells count="6">
    <mergeCell ref="B2:I2"/>
    <mergeCell ref="B3:I3"/>
    <mergeCell ref="B9:E9"/>
    <mergeCell ref="F9:I9"/>
    <mergeCell ref="B16:I16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C99"/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  <col collapsed="false" customWidth="true" hidden="false" outlineLevel="0" max="9" min="8" style="0" width="20"/>
    <col collapsed="false" customWidth="true" hidden="false" outlineLevel="0" max="13" min="10" style="0" width="14"/>
    <col collapsed="false" customWidth="true" hidden="false" outlineLevel="0" max="15" min="14" style="0" width="10"/>
    <col collapsed="false" customWidth="true" hidden="false" outlineLevel="0" max="18" min="16" style="0" width="14"/>
    <col collapsed="false" customWidth="true" hidden="false" outlineLevel="0" max="19" min="19" style="0" width="20"/>
    <col collapsed="false" customWidth="true" hidden="false" outlineLevel="0" max="20" min="20" style="0" width="30"/>
  </cols>
  <sheetData>
    <row r="1" customFormat="false" ht="26.85" hidden="false" customHeight="false" outlineLevel="0" collapsed="false">
      <c r="A1" s="22" t="s">
        <v>37</v>
      </c>
      <c r="B1" s="22" t="s">
        <v>38</v>
      </c>
      <c r="C1" s="22" t="s">
        <v>14</v>
      </c>
      <c r="D1" s="22" t="s">
        <v>17</v>
      </c>
      <c r="E1" s="22" t="s">
        <v>39</v>
      </c>
      <c r="F1" s="22" t="s">
        <v>40</v>
      </c>
      <c r="G1" s="22" t="s">
        <v>41</v>
      </c>
      <c r="H1" s="22" t="s">
        <v>42</v>
      </c>
      <c r="I1" s="22" t="s">
        <v>43</v>
      </c>
      <c r="J1" s="22" t="s">
        <v>44</v>
      </c>
      <c r="K1" s="22" t="s">
        <v>45</v>
      </c>
      <c r="L1" s="22" t="s">
        <v>46</v>
      </c>
      <c r="M1" s="22" t="s">
        <v>47</v>
      </c>
      <c r="N1" s="22" t="s">
        <v>48</v>
      </c>
      <c r="O1" s="22" t="s">
        <v>49</v>
      </c>
      <c r="P1" s="22" t="s">
        <v>50</v>
      </c>
      <c r="Q1" s="22" t="s">
        <v>51</v>
      </c>
      <c r="R1" s="22" t="s">
        <v>52</v>
      </c>
      <c r="S1" s="22" t="s">
        <v>53</v>
      </c>
      <c r="T1" s="22" t="s">
        <v>28</v>
      </c>
    </row>
    <row r="2" customFormat="false" ht="15" hidden="false" customHeight="false" outlineLevel="0" collapsed="false">
      <c r="A2" s="15" t="s">
        <v>54</v>
      </c>
      <c r="B2" s="15" t="s">
        <v>55</v>
      </c>
      <c r="C2" s="16" t="n">
        <v>120000</v>
      </c>
      <c r="D2" s="23" t="n">
        <v>46280</v>
      </c>
      <c r="E2" s="15" t="s">
        <v>18</v>
      </c>
      <c r="F2" s="15" t="s">
        <v>56</v>
      </c>
      <c r="G2" s="15"/>
      <c r="H2" s="15" t="s">
        <v>57</v>
      </c>
      <c r="I2" s="15" t="s">
        <v>58</v>
      </c>
      <c r="J2" s="15" t="s">
        <v>59</v>
      </c>
      <c r="K2" s="23" t="n">
        <v>45550</v>
      </c>
      <c r="L2" s="15" t="s">
        <v>60</v>
      </c>
      <c r="M2" s="15" t="s">
        <v>55</v>
      </c>
      <c r="N2" s="15" t="n">
        <v>150</v>
      </c>
      <c r="O2" s="15" t="n">
        <v>9</v>
      </c>
      <c r="P2" s="23" t="n">
        <v>46032</v>
      </c>
      <c r="Q2" s="23" t="n">
        <v>46122</v>
      </c>
      <c r="R2" s="24" t="n">
        <f aca="true">IF(D2="","",D2-TODAY())</f>
        <v>166</v>
      </c>
      <c r="S2" s="15"/>
      <c r="T2" s="15" t="s">
        <v>61</v>
      </c>
    </row>
    <row r="3" customFormat="false" ht="15" hidden="false" customHeight="false" outlineLevel="0" collapsed="false">
      <c r="A3" s="9" t="s">
        <v>62</v>
      </c>
      <c r="B3" s="9" t="s">
        <v>63</v>
      </c>
      <c r="C3" s="10" t="n">
        <v>85000</v>
      </c>
      <c r="D3" s="25" t="n">
        <v>46204</v>
      </c>
      <c r="E3" s="9" t="s">
        <v>19</v>
      </c>
      <c r="F3" s="9" t="s">
        <v>64</v>
      </c>
      <c r="G3" s="9"/>
      <c r="H3" s="9" t="s">
        <v>65</v>
      </c>
      <c r="I3" s="9" t="s">
        <v>66</v>
      </c>
      <c r="J3" s="9" t="s">
        <v>67</v>
      </c>
      <c r="K3" s="25" t="n">
        <v>45839</v>
      </c>
      <c r="L3" s="9" t="s">
        <v>60</v>
      </c>
      <c r="M3" s="9" t="s">
        <v>68</v>
      </c>
      <c r="N3" s="9" t="n">
        <v>75</v>
      </c>
      <c r="O3" s="9" t="n">
        <v>7</v>
      </c>
      <c r="P3" s="25" t="n">
        <v>46006</v>
      </c>
      <c r="Q3" s="25" t="n">
        <v>46096</v>
      </c>
      <c r="R3" s="26" t="n">
        <f aca="true">IF(D3="","",D3-TODAY())</f>
        <v>90</v>
      </c>
      <c r="S3" s="9"/>
      <c r="T3" s="9" t="s">
        <v>69</v>
      </c>
    </row>
    <row r="4" customFormat="false" ht="23.85" hidden="false" customHeight="false" outlineLevel="0" collapsed="false">
      <c r="A4" s="15" t="s">
        <v>70</v>
      </c>
      <c r="B4" s="15" t="s">
        <v>63</v>
      </c>
      <c r="C4" s="16" t="n">
        <v>45000</v>
      </c>
      <c r="D4" s="23" t="n">
        <v>46356</v>
      </c>
      <c r="E4" s="15" t="s">
        <v>18</v>
      </c>
      <c r="F4" s="15" t="s">
        <v>71</v>
      </c>
      <c r="G4" s="15"/>
      <c r="H4" s="15" t="s">
        <v>72</v>
      </c>
      <c r="I4" s="15"/>
      <c r="J4" s="15" t="s">
        <v>73</v>
      </c>
      <c r="K4" s="23" t="n">
        <v>45991</v>
      </c>
      <c r="L4" s="15" t="s">
        <v>60</v>
      </c>
      <c r="M4" s="15" t="s">
        <v>68</v>
      </c>
      <c r="N4" s="15" t="n">
        <v>40</v>
      </c>
      <c r="O4" s="15" t="n">
        <v>8</v>
      </c>
      <c r="P4" s="23" t="n">
        <v>46073</v>
      </c>
      <c r="Q4" s="23" t="n">
        <v>46162</v>
      </c>
      <c r="R4" s="24" t="n">
        <f aca="true">IF(D4="","",D4-TODAY())</f>
        <v>242</v>
      </c>
      <c r="S4" s="15"/>
      <c r="T4" s="15" t="s">
        <v>74</v>
      </c>
    </row>
    <row r="5" customFormat="false" ht="23.85" hidden="false" customHeight="false" outlineLevel="0" collapsed="false">
      <c r="A5" s="9" t="s">
        <v>75</v>
      </c>
      <c r="B5" s="9" t="s">
        <v>55</v>
      </c>
      <c r="C5" s="10" t="n">
        <v>200000</v>
      </c>
      <c r="D5" s="25" t="n">
        <v>46174</v>
      </c>
      <c r="E5" s="9" t="s">
        <v>20</v>
      </c>
      <c r="F5" s="9" t="s">
        <v>76</v>
      </c>
      <c r="G5" s="9"/>
      <c r="H5" s="9" t="s">
        <v>77</v>
      </c>
      <c r="I5" s="9" t="s">
        <v>78</v>
      </c>
      <c r="J5" s="9" t="s">
        <v>79</v>
      </c>
      <c r="K5" s="25" t="n">
        <v>45444</v>
      </c>
      <c r="L5" s="9" t="s">
        <v>80</v>
      </c>
      <c r="M5" s="9" t="s">
        <v>55</v>
      </c>
      <c r="N5" s="9" t="n">
        <v>300</v>
      </c>
      <c r="O5" s="9" t="n">
        <v>5</v>
      </c>
      <c r="P5" s="25" t="n">
        <v>46047</v>
      </c>
      <c r="Q5" s="25" t="n">
        <v>46113</v>
      </c>
      <c r="R5" s="26" t="n">
        <f aca="true">IF(D5="","",D5-TODAY())</f>
        <v>60</v>
      </c>
      <c r="S5" s="9"/>
      <c r="T5" s="9" t="s">
        <v>81</v>
      </c>
    </row>
    <row r="6" customFormat="false" ht="15" hidden="false" customHeight="false" outlineLevel="0" collapsed="false">
      <c r="A6" s="15" t="s">
        <v>82</v>
      </c>
      <c r="B6" s="15" t="s">
        <v>83</v>
      </c>
      <c r="C6" s="16" t="n">
        <v>30000</v>
      </c>
      <c r="D6" s="23" t="n">
        <v>46402</v>
      </c>
      <c r="E6" s="15" t="s">
        <v>18</v>
      </c>
      <c r="F6" s="15" t="s">
        <v>84</v>
      </c>
      <c r="G6" s="15"/>
      <c r="H6" s="15" t="s">
        <v>85</v>
      </c>
      <c r="I6" s="15"/>
      <c r="J6" s="15" t="s">
        <v>59</v>
      </c>
      <c r="K6" s="23" t="n">
        <v>46037</v>
      </c>
      <c r="L6" s="15" t="s">
        <v>60</v>
      </c>
      <c r="M6" s="15" t="s">
        <v>86</v>
      </c>
      <c r="N6" s="15" t="n">
        <v>15</v>
      </c>
      <c r="O6" s="15"/>
      <c r="P6" s="15"/>
      <c r="Q6" s="15"/>
      <c r="R6" s="24" t="n">
        <f aca="true">IF(D6="","",D6-TODAY())</f>
        <v>288</v>
      </c>
      <c r="S6" s="15"/>
      <c r="T6" s="15" t="s">
        <v>87</v>
      </c>
    </row>
  </sheetData>
  <autoFilter ref="A1:T100"/>
  <conditionalFormatting sqref="E2:E100">
    <cfRule type="cellIs" priority="2" operator="equal" aboveAverage="0" equalAverage="0" bottom="0" percent="0" rank="0" text="" dxfId="10">
      <formula>"Green 🟢"</formula>
    </cfRule>
    <cfRule type="cellIs" priority="3" operator="equal" aboveAverage="0" equalAverage="0" bottom="0" percent="0" rank="0" text="" dxfId="11">
      <formula>"Yellow 🟡"</formula>
    </cfRule>
    <cfRule type="cellIs" priority="4" operator="equal" aboveAverage="0" equalAverage="0" bottom="0" percent="0" rank="0" text="" dxfId="12">
      <formula>"Red 🔴"</formula>
    </cfRule>
  </conditionalFormatting>
  <conditionalFormatting sqref="R2:R100">
    <cfRule type="cellIs" priority="5" operator="lessThan" aboveAverage="0" equalAverage="0" bottom="0" percent="0" rank="0" text="" dxfId="13">
      <formula>30</formula>
    </cfRule>
    <cfRule type="cellIs" priority="6" operator="between" aboveAverage="0" equalAverage="0" bottom="0" percent="0" rank="0" text="" dxfId="14">
      <formula>30</formula>
      <formula>90</formula>
    </cfRule>
  </conditionalFormatting>
  <dataValidations count="4">
    <dataValidation allowBlank="true" error="Please select from the dropdown" errorStyle="stop" errorTitle="Invalid entry" operator="between" showDropDown="false" showErrorMessage="false" showInputMessage="false" sqref="B2:B100" type="list">
      <formula1>"Enterprise,Mid-Market,SMB,Strategic"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E2:E100" type="list">
      <formula1>"Green 🟢,Yellow 🟡,Red 🔴"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F2:F100" type="list">
      <formula1>"Onboarding,Adopting,Expanding,Renewing,At-Risk,Churned"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L2:L100" type="list">
      <formula1>"Monthly,Annual,2-Year,3-Year"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7" min="3" style="0" width="1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6.85" hidden="false" customHeight="false" outlineLevel="0" collapsed="false">
      <c r="A1" s="22" t="s">
        <v>22</v>
      </c>
      <c r="B1" s="22" t="s">
        <v>16</v>
      </c>
      <c r="C1" s="22" t="s">
        <v>23</v>
      </c>
      <c r="D1" s="22" t="s">
        <v>24</v>
      </c>
      <c r="E1" s="22" t="s">
        <v>25</v>
      </c>
      <c r="F1" s="22" t="s">
        <v>26</v>
      </c>
      <c r="G1" s="22" t="s">
        <v>27</v>
      </c>
      <c r="H1" s="22" t="s">
        <v>33</v>
      </c>
      <c r="I1" s="22" t="s">
        <v>28</v>
      </c>
      <c r="J1" s="22" t="s">
        <v>88</v>
      </c>
    </row>
    <row r="2" customFormat="false" ht="23.85" hidden="false" customHeight="false" outlineLevel="0" collapsed="false">
      <c r="A2" s="15" t="s">
        <v>89</v>
      </c>
      <c r="B2" s="15" t="s">
        <v>54</v>
      </c>
      <c r="C2" s="15" t="s">
        <v>90</v>
      </c>
      <c r="D2" s="15" t="s">
        <v>91</v>
      </c>
      <c r="E2" s="23" t="n">
        <v>46115</v>
      </c>
      <c r="F2" s="15"/>
      <c r="G2" s="15" t="s">
        <v>92</v>
      </c>
      <c r="H2" s="15" t="s">
        <v>93</v>
      </c>
      <c r="I2" s="15" t="s">
        <v>94</v>
      </c>
      <c r="J2" s="15"/>
    </row>
    <row r="3" customFormat="false" ht="23.85" hidden="false" customHeight="false" outlineLevel="0" collapsed="false">
      <c r="A3" s="9" t="s">
        <v>95</v>
      </c>
      <c r="B3" s="9" t="s">
        <v>75</v>
      </c>
      <c r="C3" s="9" t="s">
        <v>96</v>
      </c>
      <c r="D3" s="9" t="s">
        <v>97</v>
      </c>
      <c r="E3" s="25" t="n">
        <v>46116</v>
      </c>
      <c r="F3" s="9"/>
      <c r="G3" s="9" t="s">
        <v>98</v>
      </c>
      <c r="H3" s="9" t="s">
        <v>93</v>
      </c>
      <c r="I3" s="9" t="s">
        <v>99</v>
      </c>
      <c r="J3" s="9"/>
    </row>
    <row r="4" customFormat="false" ht="15" hidden="false" customHeight="false" outlineLevel="0" collapsed="false">
      <c r="A4" s="15" t="s">
        <v>100</v>
      </c>
      <c r="B4" s="15" t="s">
        <v>62</v>
      </c>
      <c r="C4" s="15" t="s">
        <v>90</v>
      </c>
      <c r="D4" s="15" t="s">
        <v>91</v>
      </c>
      <c r="E4" s="23" t="n">
        <v>46119</v>
      </c>
      <c r="F4" s="15"/>
      <c r="G4" s="15" t="s">
        <v>98</v>
      </c>
      <c r="H4" s="15" t="s">
        <v>101</v>
      </c>
      <c r="I4" s="15" t="s">
        <v>102</v>
      </c>
      <c r="J4" s="15"/>
    </row>
    <row r="5" customFormat="false" ht="15" hidden="false" customHeight="false" outlineLevel="0" collapsed="false">
      <c r="A5" s="9" t="s">
        <v>103</v>
      </c>
      <c r="B5" s="9" t="s">
        <v>70</v>
      </c>
      <c r="C5" s="9" t="s">
        <v>90</v>
      </c>
      <c r="D5" s="9" t="s">
        <v>104</v>
      </c>
      <c r="E5" s="25" t="n">
        <v>46127</v>
      </c>
      <c r="F5" s="9"/>
      <c r="G5" s="9" t="s">
        <v>98</v>
      </c>
      <c r="H5" s="9" t="s">
        <v>105</v>
      </c>
      <c r="I5" s="9" t="s">
        <v>106</v>
      </c>
      <c r="J5" s="9"/>
    </row>
    <row r="6" customFormat="false" ht="23.85" hidden="false" customHeight="false" outlineLevel="0" collapsed="false">
      <c r="A6" s="15" t="s">
        <v>107</v>
      </c>
      <c r="B6" s="15" t="s">
        <v>82</v>
      </c>
      <c r="C6" s="15" t="s">
        <v>90</v>
      </c>
      <c r="D6" s="15" t="s">
        <v>91</v>
      </c>
      <c r="E6" s="23" t="n">
        <v>46120</v>
      </c>
      <c r="F6" s="15"/>
      <c r="G6" s="15" t="s">
        <v>92</v>
      </c>
      <c r="H6" s="15" t="s">
        <v>105</v>
      </c>
      <c r="I6" s="15" t="s">
        <v>108</v>
      </c>
      <c r="J6" s="15"/>
    </row>
    <row r="7" customFormat="false" ht="15" hidden="false" customHeight="false" outlineLevel="0" collapsed="false">
      <c r="A7" s="9" t="s">
        <v>109</v>
      </c>
      <c r="B7" s="9" t="s">
        <v>62</v>
      </c>
      <c r="C7" s="9" t="s">
        <v>110</v>
      </c>
      <c r="D7" s="9" t="s">
        <v>97</v>
      </c>
      <c r="E7" s="25" t="n">
        <v>46115</v>
      </c>
      <c r="F7" s="9"/>
      <c r="G7" s="9" t="s">
        <v>111</v>
      </c>
      <c r="H7" s="9" t="s">
        <v>112</v>
      </c>
      <c r="I7" s="9" t="s">
        <v>113</v>
      </c>
      <c r="J7" s="9"/>
    </row>
    <row r="8" customFormat="false" ht="23.85" hidden="false" customHeight="false" outlineLevel="0" collapsed="false">
      <c r="A8" s="15" t="s">
        <v>114</v>
      </c>
      <c r="B8" s="15" t="s">
        <v>54</v>
      </c>
      <c r="C8" s="15" t="s">
        <v>90</v>
      </c>
      <c r="D8" s="15" t="s">
        <v>115</v>
      </c>
      <c r="E8" s="23" t="n">
        <v>46132</v>
      </c>
      <c r="F8" s="15"/>
      <c r="G8" s="15" t="s">
        <v>116</v>
      </c>
      <c r="H8" s="15" t="s">
        <v>93</v>
      </c>
      <c r="I8" s="15" t="s">
        <v>117</v>
      </c>
      <c r="J8" s="15"/>
    </row>
    <row r="9" customFormat="false" ht="15" hidden="false" customHeight="false" outlineLevel="0" collapsed="false">
      <c r="A9" s="9" t="s">
        <v>118</v>
      </c>
      <c r="B9" s="9" t="s">
        <v>75</v>
      </c>
      <c r="C9" s="9" t="s">
        <v>96</v>
      </c>
      <c r="D9" s="9" t="s">
        <v>97</v>
      </c>
      <c r="E9" s="25" t="n">
        <v>46115</v>
      </c>
      <c r="F9" s="9"/>
      <c r="G9" s="9" t="s">
        <v>98</v>
      </c>
      <c r="H9" s="9" t="s">
        <v>105</v>
      </c>
      <c r="I9" s="9" t="s">
        <v>119</v>
      </c>
      <c r="J9" s="9"/>
    </row>
    <row r="10" customFormat="false" ht="15" hidden="false" customHeight="false" outlineLevel="0" collapsed="false">
      <c r="A10" s="15" t="s">
        <v>120</v>
      </c>
      <c r="B10" s="15" t="s">
        <v>70</v>
      </c>
      <c r="C10" s="15" t="s">
        <v>90</v>
      </c>
      <c r="D10" s="15" t="s">
        <v>104</v>
      </c>
      <c r="E10" s="23" t="n">
        <v>46122</v>
      </c>
      <c r="F10" s="15"/>
      <c r="G10" s="15" t="s">
        <v>98</v>
      </c>
      <c r="H10" s="15" t="s">
        <v>93</v>
      </c>
      <c r="I10" s="15" t="s">
        <v>121</v>
      </c>
      <c r="J10" s="15"/>
    </row>
    <row r="11" customFormat="false" ht="23.85" hidden="false" customHeight="false" outlineLevel="0" collapsed="false">
      <c r="A11" s="9" t="s">
        <v>122</v>
      </c>
      <c r="B11" s="9" t="s">
        <v>82</v>
      </c>
      <c r="C11" s="9" t="s">
        <v>90</v>
      </c>
      <c r="D11" s="9" t="s">
        <v>115</v>
      </c>
      <c r="E11" s="25" t="n">
        <v>46123</v>
      </c>
      <c r="F11" s="9"/>
      <c r="G11" s="9" t="s">
        <v>123</v>
      </c>
      <c r="H11" s="9" t="s">
        <v>93</v>
      </c>
      <c r="I11" s="9" t="s">
        <v>124</v>
      </c>
      <c r="J11" s="9"/>
    </row>
  </sheetData>
  <autoFilter ref="A1:J500"/>
  <conditionalFormatting sqref="D2:D500">
    <cfRule type="cellIs" priority="2" operator="equal" aboveAverage="0" equalAverage="0" bottom="0" percent="0" rank="0" text="" dxfId="12">
      <formula>"🔴 Urgent"</formula>
    </cfRule>
    <cfRule type="cellIs" priority="3" operator="equal" aboveAverage="0" equalAverage="0" bottom="0" percent="0" rank="0" text="" dxfId="11">
      <formula>"🟡 High"</formula>
    </cfRule>
  </conditionalFormatting>
  <conditionalFormatting sqref="C2:C500">
    <cfRule type="cellIs" priority="4" operator="equal" aboveAverage="0" equalAverage="0" bottom="0" percent="0" rank="0" text="" dxfId="10">
      <formula>"Done"</formula>
    </cfRule>
    <cfRule type="cellIs" priority="5" operator="equal" aboveAverage="0" equalAverage="0" bottom="0" percent="0" rank="0" text="" dxfId="12">
      <formula>"Blocked"</formula>
    </cfRule>
  </conditionalFormatting>
  <dataValidations count="4">
    <dataValidation allowBlank="true" error="Please select from the dropdown" errorStyle="stop" errorTitle="Invalid entry" operator="between" showDropDown="false" showErrorMessage="false" showInputMessage="false" sqref="C2:C500" type="list">
      <formula1>"Not Started,In Progress,Waiting,Blocked,Done"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D2:D500" type="list">
      <formula1>"🔴 Urgent,🟡 High,🔵 Medium,⚪ Low"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G2:G500" type="list">
      <formula1>"Call,Email,Slack,Internal,QBR,Support,Ad-hoc"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H2:H500" type="list">
      <formula1>"Follow-up,Internal Request,Customer Request,Deliverable,Research"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35"/>
    <col collapsed="false" customWidth="true" hidden="false" outlineLevel="0" max="8" min="8" style="0" width="28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22"/>
  </cols>
  <sheetData>
    <row r="1" customFormat="false" ht="26.85" hidden="false" customHeight="false" outlineLevel="0" collapsed="false">
      <c r="A1" s="22" t="s">
        <v>125</v>
      </c>
      <c r="B1" s="22" t="s">
        <v>16</v>
      </c>
      <c r="C1" s="22" t="s">
        <v>32</v>
      </c>
      <c r="D1" s="22" t="s">
        <v>126</v>
      </c>
      <c r="E1" s="22" t="s">
        <v>127</v>
      </c>
      <c r="F1" s="22" t="s">
        <v>128</v>
      </c>
      <c r="G1" s="22" t="s">
        <v>129</v>
      </c>
      <c r="H1" s="22" t="s">
        <v>130</v>
      </c>
      <c r="I1" s="22" t="s">
        <v>131</v>
      </c>
      <c r="J1" s="22" t="s">
        <v>132</v>
      </c>
      <c r="K1" s="22" t="s">
        <v>133</v>
      </c>
      <c r="L1" s="22" t="s">
        <v>134</v>
      </c>
    </row>
    <row r="2" customFormat="false" ht="35.05" hidden="false" customHeight="false" outlineLevel="0" collapsed="false">
      <c r="A2" s="15" t="s">
        <v>135</v>
      </c>
      <c r="B2" s="15" t="s">
        <v>54</v>
      </c>
      <c r="C2" s="23" t="n">
        <v>46032</v>
      </c>
      <c r="D2" s="15" t="s">
        <v>116</v>
      </c>
      <c r="E2" s="15" t="s">
        <v>136</v>
      </c>
      <c r="F2" s="15" t="s">
        <v>137</v>
      </c>
      <c r="G2" s="15" t="s">
        <v>138</v>
      </c>
      <c r="H2" s="15" t="s">
        <v>139</v>
      </c>
      <c r="I2" s="15" t="s">
        <v>140</v>
      </c>
      <c r="J2" s="23" t="n">
        <v>46046</v>
      </c>
      <c r="K2" s="15" t="s">
        <v>141</v>
      </c>
      <c r="L2" s="15"/>
    </row>
    <row r="3" customFormat="false" ht="35.05" hidden="false" customHeight="false" outlineLevel="0" collapsed="false">
      <c r="A3" s="9" t="s">
        <v>142</v>
      </c>
      <c r="B3" s="9" t="s">
        <v>62</v>
      </c>
      <c r="C3" s="25" t="n">
        <v>46096</v>
      </c>
      <c r="D3" s="9" t="s">
        <v>143</v>
      </c>
      <c r="E3" s="9" t="s">
        <v>144</v>
      </c>
      <c r="F3" s="9" t="s">
        <v>145</v>
      </c>
      <c r="G3" s="9" t="s">
        <v>146</v>
      </c>
      <c r="H3" s="9" t="s">
        <v>147</v>
      </c>
      <c r="I3" s="9" t="s">
        <v>148</v>
      </c>
      <c r="J3" s="25" t="n">
        <v>46103</v>
      </c>
      <c r="K3" s="9" t="s">
        <v>149</v>
      </c>
      <c r="L3" s="9"/>
    </row>
    <row r="4" customFormat="false" ht="35.05" hidden="false" customHeight="false" outlineLevel="0" collapsed="false">
      <c r="A4" s="15" t="s">
        <v>150</v>
      </c>
      <c r="B4" s="15" t="s">
        <v>75</v>
      </c>
      <c r="C4" s="23" t="n">
        <v>46109</v>
      </c>
      <c r="D4" s="15" t="s">
        <v>151</v>
      </c>
      <c r="E4" s="15" t="s">
        <v>152</v>
      </c>
      <c r="F4" s="15" t="s">
        <v>153</v>
      </c>
      <c r="G4" s="15" t="s">
        <v>154</v>
      </c>
      <c r="H4" s="15" t="s">
        <v>155</v>
      </c>
      <c r="I4" s="15" t="s">
        <v>156</v>
      </c>
      <c r="J4" s="23" t="n">
        <v>46113</v>
      </c>
      <c r="K4" s="15" t="s">
        <v>149</v>
      </c>
      <c r="L4" s="15"/>
    </row>
    <row r="5" customFormat="false" ht="35.05" hidden="false" customHeight="false" outlineLevel="0" collapsed="false">
      <c r="A5" s="9" t="s">
        <v>157</v>
      </c>
      <c r="B5" s="9" t="s">
        <v>82</v>
      </c>
      <c r="C5" s="25" t="n">
        <v>46051</v>
      </c>
      <c r="D5" s="9" t="s">
        <v>84</v>
      </c>
      <c r="E5" s="9" t="s">
        <v>158</v>
      </c>
      <c r="F5" s="9" t="s">
        <v>159</v>
      </c>
      <c r="G5" s="9" t="s">
        <v>160</v>
      </c>
      <c r="H5" s="9" t="s">
        <v>161</v>
      </c>
      <c r="I5" s="9" t="s">
        <v>140</v>
      </c>
      <c r="J5" s="25" t="n">
        <v>46058</v>
      </c>
      <c r="K5" s="9" t="s">
        <v>141</v>
      </c>
      <c r="L5" s="9"/>
    </row>
    <row r="6" customFormat="false" ht="35.05" hidden="false" customHeight="false" outlineLevel="0" collapsed="false">
      <c r="A6" s="15" t="s">
        <v>162</v>
      </c>
      <c r="B6" s="15" t="s">
        <v>70</v>
      </c>
      <c r="C6" s="23" t="n">
        <v>46073</v>
      </c>
      <c r="D6" s="15" t="s">
        <v>143</v>
      </c>
      <c r="E6" s="15" t="s">
        <v>163</v>
      </c>
      <c r="F6" s="15" t="s">
        <v>164</v>
      </c>
      <c r="G6" s="15" t="s">
        <v>165</v>
      </c>
      <c r="H6" s="15" t="s">
        <v>166</v>
      </c>
      <c r="I6" s="15" t="s">
        <v>140</v>
      </c>
      <c r="J6" s="23" t="n">
        <v>46101</v>
      </c>
      <c r="K6" s="15" t="s">
        <v>141</v>
      </c>
      <c r="L6" s="15"/>
    </row>
  </sheetData>
  <autoFilter ref="A1:L500"/>
  <conditionalFormatting sqref="I2:I500">
    <cfRule type="cellIs" priority="2" operator="equal" aboveAverage="0" equalAverage="0" bottom="0" percent="0" rank="0" text="" dxfId="10">
      <formula>"😊 Positive"</formula>
    </cfRule>
    <cfRule type="cellIs" priority="3" operator="equal" aboveAverage="0" equalAverage="0" bottom="0" percent="0" rank="0" text="" dxfId="11">
      <formula>"😟 Concerned"</formula>
    </cfRule>
    <cfRule type="cellIs" priority="4" operator="equal" aboveAverage="0" equalAverage="0" bottom="0" percent="0" rank="0" text="" dxfId="12">
      <formula>"😠 Negative"</formula>
    </cfRule>
  </conditionalFormatting>
  <dataValidations count="3">
    <dataValidation allowBlank="true" error="Please select from the dropdown" errorStyle="stop" errorTitle="Invalid entry" operator="between" showDropDown="false" showErrorMessage="false" showInputMessage="false" sqref="D2:D500" type="list">
      <formula1>"Check-in,QBR,EBR,Onboarding,Training,Escalation,Internal,Ad-hoc"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I2:I500" type="list">
      <formula1>"😊 Positive,😐 Neutral,😟 Concerned,😠 Negative"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K2:K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8BB78"/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5"/>
    <col collapsed="false" customWidth="true" hidden="false" outlineLevel="0" max="9" min="7" style="0" width="28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18"/>
  </cols>
  <sheetData>
    <row r="1" customFormat="false" ht="26.85" hidden="false" customHeight="false" outlineLevel="0" collapsed="false">
      <c r="A1" s="22" t="s">
        <v>167</v>
      </c>
      <c r="B1" s="22" t="s">
        <v>16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168</v>
      </c>
      <c r="H1" s="22" t="s">
        <v>169</v>
      </c>
      <c r="I1" s="22" t="s">
        <v>170</v>
      </c>
      <c r="J1" s="22" t="s">
        <v>171</v>
      </c>
      <c r="K1" s="22" t="s">
        <v>172</v>
      </c>
      <c r="L1" s="22" t="s">
        <v>173</v>
      </c>
      <c r="M1" s="22" t="s">
        <v>174</v>
      </c>
      <c r="N1" s="22" t="s">
        <v>175</v>
      </c>
    </row>
    <row r="2" customFormat="false" ht="35.05" hidden="false" customHeight="false" outlineLevel="0" collapsed="false">
      <c r="A2" s="15" t="s">
        <v>176</v>
      </c>
      <c r="B2" s="15" t="s">
        <v>54</v>
      </c>
      <c r="C2" s="23" t="n">
        <v>46044</v>
      </c>
      <c r="D2" s="15" t="s">
        <v>177</v>
      </c>
      <c r="E2" s="16" t="n">
        <v>120000</v>
      </c>
      <c r="F2" s="15" t="s">
        <v>178</v>
      </c>
      <c r="G2" s="15" t="s">
        <v>179</v>
      </c>
      <c r="H2" s="15" t="s">
        <v>180</v>
      </c>
      <c r="I2" s="15" t="s">
        <v>181</v>
      </c>
      <c r="J2" s="15" t="s">
        <v>182</v>
      </c>
      <c r="K2" s="15" t="s">
        <v>183</v>
      </c>
      <c r="L2" s="15" t="s">
        <v>141</v>
      </c>
      <c r="M2" s="15" t="s">
        <v>184</v>
      </c>
      <c r="N2" s="15" t="s">
        <v>185</v>
      </c>
    </row>
    <row r="3" customFormat="false" ht="35.05" hidden="false" customHeight="false" outlineLevel="0" collapsed="false">
      <c r="A3" s="9" t="s">
        <v>186</v>
      </c>
      <c r="B3" s="9" t="s">
        <v>62</v>
      </c>
      <c r="C3" s="25" t="n">
        <v>45976</v>
      </c>
      <c r="D3" s="9" t="s">
        <v>187</v>
      </c>
      <c r="E3" s="9"/>
      <c r="F3" s="9" t="s">
        <v>188</v>
      </c>
      <c r="G3" s="9" t="s">
        <v>189</v>
      </c>
      <c r="H3" s="9" t="s">
        <v>190</v>
      </c>
      <c r="I3" s="9" t="s">
        <v>191</v>
      </c>
      <c r="J3" s="9" t="s">
        <v>192</v>
      </c>
      <c r="K3" s="9" t="s">
        <v>193</v>
      </c>
      <c r="L3" s="9" t="s">
        <v>141</v>
      </c>
      <c r="M3" s="9" t="s">
        <v>194</v>
      </c>
      <c r="N3" s="9" t="s">
        <v>195</v>
      </c>
    </row>
    <row r="4" customFormat="false" ht="35.05" hidden="false" customHeight="false" outlineLevel="0" collapsed="false">
      <c r="A4" s="15" t="s">
        <v>196</v>
      </c>
      <c r="B4" s="15" t="s">
        <v>54</v>
      </c>
      <c r="C4" s="23" t="n">
        <v>45899</v>
      </c>
      <c r="D4" s="15" t="s">
        <v>197</v>
      </c>
      <c r="E4" s="16" t="n">
        <v>48000</v>
      </c>
      <c r="F4" s="15" t="s">
        <v>198</v>
      </c>
      <c r="G4" s="15" t="s">
        <v>199</v>
      </c>
      <c r="H4" s="15" t="s">
        <v>200</v>
      </c>
      <c r="I4" s="15" t="s">
        <v>201</v>
      </c>
      <c r="J4" s="15" t="s">
        <v>202</v>
      </c>
      <c r="K4" s="15" t="s">
        <v>203</v>
      </c>
      <c r="L4" s="15" t="s">
        <v>141</v>
      </c>
      <c r="M4" s="15" t="s">
        <v>204</v>
      </c>
      <c r="N4" s="15" t="s">
        <v>205</v>
      </c>
    </row>
    <row r="5" customFormat="false" ht="35.05" hidden="false" customHeight="false" outlineLevel="0" collapsed="false">
      <c r="A5" s="9" t="s">
        <v>206</v>
      </c>
      <c r="B5" s="9" t="s">
        <v>98</v>
      </c>
      <c r="C5" s="25" t="n">
        <v>46063</v>
      </c>
      <c r="D5" s="9" t="s">
        <v>207</v>
      </c>
      <c r="E5" s="9"/>
      <c r="F5" s="9" t="s">
        <v>208</v>
      </c>
      <c r="G5" s="9" t="s">
        <v>209</v>
      </c>
      <c r="H5" s="9" t="s">
        <v>210</v>
      </c>
      <c r="I5" s="9" t="s">
        <v>211</v>
      </c>
      <c r="J5" s="9" t="s">
        <v>212</v>
      </c>
      <c r="K5" s="9" t="s">
        <v>213</v>
      </c>
      <c r="L5" s="9" t="s">
        <v>141</v>
      </c>
      <c r="M5" s="9" t="s">
        <v>184</v>
      </c>
      <c r="N5" s="9" t="s">
        <v>214</v>
      </c>
    </row>
    <row r="6" customFormat="false" ht="35.05" hidden="false" customHeight="false" outlineLevel="0" collapsed="false">
      <c r="A6" s="15" t="s">
        <v>215</v>
      </c>
      <c r="B6" s="15" t="s">
        <v>70</v>
      </c>
      <c r="C6" s="23" t="n">
        <v>46086</v>
      </c>
      <c r="D6" s="15" t="s">
        <v>216</v>
      </c>
      <c r="E6" s="15"/>
      <c r="F6" s="15" t="s">
        <v>217</v>
      </c>
      <c r="G6" s="15" t="s">
        <v>218</v>
      </c>
      <c r="H6" s="15" t="s">
        <v>219</v>
      </c>
      <c r="I6" s="15" t="s">
        <v>220</v>
      </c>
      <c r="J6" s="15" t="s">
        <v>221</v>
      </c>
      <c r="K6" s="15" t="s">
        <v>222</v>
      </c>
      <c r="L6" s="15" t="s">
        <v>141</v>
      </c>
      <c r="M6" s="15" t="s">
        <v>184</v>
      </c>
      <c r="N6" s="15" t="s">
        <v>223</v>
      </c>
    </row>
  </sheetData>
  <autoFilter ref="A1:N500"/>
  <dataValidations count="2">
    <dataValidation allowBlank="true" error="Please select from the dropdown" errorStyle="stop" errorTitle="Invalid entry" operator="between" showDropDown="false" showErrorMessage="false" showInputMessage="false" sqref="D2:D500" type="list">
      <formula1>"Retention,Expansion,Advocacy,Process,Adoption,Onboarding,Mentoring,Cross-functional"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L2:L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EC0"/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11" min="9" style="0" width="28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24"/>
  </cols>
  <sheetData>
    <row r="1" customFormat="false" ht="26.85" hidden="false" customHeight="false" outlineLevel="0" collapsed="false">
      <c r="A1" s="22" t="s">
        <v>224</v>
      </c>
      <c r="B1" s="22" t="s">
        <v>16</v>
      </c>
      <c r="C1" s="22" t="s">
        <v>23</v>
      </c>
      <c r="D1" s="22" t="s">
        <v>126</v>
      </c>
      <c r="E1" s="22" t="s">
        <v>24</v>
      </c>
      <c r="F1" s="22" t="s">
        <v>225</v>
      </c>
      <c r="G1" s="22" t="s">
        <v>226</v>
      </c>
      <c r="H1" s="22" t="s">
        <v>26</v>
      </c>
      <c r="I1" s="22" t="s">
        <v>227</v>
      </c>
      <c r="J1" s="22" t="s">
        <v>228</v>
      </c>
      <c r="K1" s="22" t="s">
        <v>229</v>
      </c>
      <c r="L1" s="22" t="s">
        <v>230</v>
      </c>
      <c r="M1" s="22" t="s">
        <v>231</v>
      </c>
      <c r="N1" s="22" t="s">
        <v>232</v>
      </c>
    </row>
    <row r="2" customFormat="false" ht="35.05" hidden="false" customHeight="false" outlineLevel="0" collapsed="false">
      <c r="A2" s="15" t="s">
        <v>233</v>
      </c>
      <c r="B2" s="15" t="s">
        <v>75</v>
      </c>
      <c r="C2" s="15" t="s">
        <v>234</v>
      </c>
      <c r="D2" s="15" t="s">
        <v>235</v>
      </c>
      <c r="E2" s="15" t="s">
        <v>236</v>
      </c>
      <c r="F2" s="23" t="n">
        <v>46109</v>
      </c>
      <c r="G2" s="23" t="n">
        <v>46140</v>
      </c>
      <c r="H2" s="15"/>
      <c r="I2" s="15" t="s">
        <v>237</v>
      </c>
      <c r="J2" s="15" t="s">
        <v>238</v>
      </c>
      <c r="K2" s="15" t="s">
        <v>239</v>
      </c>
      <c r="L2" s="15" t="s">
        <v>240</v>
      </c>
      <c r="M2" s="15"/>
      <c r="N2" s="15"/>
    </row>
    <row r="3" customFormat="false" ht="35.05" hidden="false" customHeight="false" outlineLevel="0" collapsed="false">
      <c r="A3" s="9" t="s">
        <v>241</v>
      </c>
      <c r="B3" s="9" t="s">
        <v>82</v>
      </c>
      <c r="C3" s="9" t="s">
        <v>234</v>
      </c>
      <c r="D3" s="9" t="s">
        <v>84</v>
      </c>
      <c r="E3" s="9" t="s">
        <v>236</v>
      </c>
      <c r="F3" s="25" t="n">
        <v>46037</v>
      </c>
      <c r="G3" s="25" t="n">
        <v>46127</v>
      </c>
      <c r="H3" s="9"/>
      <c r="I3" s="9" t="s">
        <v>242</v>
      </c>
      <c r="J3" s="9" t="s">
        <v>243</v>
      </c>
      <c r="K3" s="9" t="s">
        <v>244</v>
      </c>
      <c r="L3" s="9" t="s">
        <v>245</v>
      </c>
      <c r="M3" s="9"/>
      <c r="N3" s="9"/>
    </row>
    <row r="4" customFormat="false" ht="23.85" hidden="false" customHeight="false" outlineLevel="0" collapsed="false">
      <c r="A4" s="15" t="s">
        <v>246</v>
      </c>
      <c r="B4" s="15" t="s">
        <v>98</v>
      </c>
      <c r="C4" s="15" t="s">
        <v>247</v>
      </c>
      <c r="D4" s="15" t="s">
        <v>248</v>
      </c>
      <c r="E4" s="15" t="s">
        <v>249</v>
      </c>
      <c r="F4" s="23" t="n">
        <v>46037</v>
      </c>
      <c r="G4" s="23" t="n">
        <v>46063</v>
      </c>
      <c r="H4" s="15"/>
      <c r="I4" s="15" t="s">
        <v>250</v>
      </c>
      <c r="J4" s="15" t="s">
        <v>251</v>
      </c>
      <c r="K4" s="15" t="s">
        <v>252</v>
      </c>
      <c r="L4" s="15"/>
      <c r="M4" s="15" t="s">
        <v>253</v>
      </c>
      <c r="N4" s="15" t="s">
        <v>254</v>
      </c>
    </row>
  </sheetData>
  <autoFilter ref="A1:N100"/>
  <conditionalFormatting sqref="C2:C100">
    <cfRule type="cellIs" priority="2" operator="equal" aboveAverage="0" equalAverage="0" bottom="0" percent="0" rank="0" text="" dxfId="10">
      <formula>"Completed"</formula>
    </cfRule>
    <cfRule type="cellIs" priority="3" operator="equal" aboveAverage="0" equalAverage="0" bottom="0" percent="0" rank="0" text="" dxfId="16">
      <formula>"Active"</formula>
    </cfRule>
    <cfRule type="cellIs" priority="4" operator="equal" aboveAverage="0" equalAverage="0" bottom="0" percent="0" rank="0" text="" dxfId="11">
      <formula>"On Hold"</formula>
    </cfRule>
  </conditionalFormatting>
  <dataValidations count="3">
    <dataValidation allowBlank="true" error="Please select from the dropdown" errorStyle="stop" errorTitle="Invalid entry" operator="between" showDropDown="false" showErrorMessage="false" showInputMessage="false" sqref="C2:C100" type="list">
      <formula1>"Planning,Active,On Hold,Completed,Cancelled"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D2:D100" type="list">
      <formula1>"Onboarding,Implementation,Migration,Expansion,Internal Initiative,Playbook"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E2:E10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C94B"/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7" min="5" style="0" width="12"/>
    <col collapsed="false" customWidth="true" hidden="false" outlineLevel="0" max="8" min="8" style="0" width="26"/>
    <col collapsed="false" customWidth="true" hidden="false" outlineLevel="0" max="11" min="9" style="0" width="12"/>
    <col collapsed="false" customWidth="true" hidden="false" outlineLevel="0" max="12" min="12" style="0" width="26"/>
    <col collapsed="false" customWidth="true" hidden="false" outlineLevel="0" max="16" min="13" style="0" width="12"/>
    <col collapsed="false" customWidth="true" hidden="false" outlineLevel="0" max="17" min="17" style="0" width="28"/>
  </cols>
  <sheetData>
    <row r="1" customFormat="false" ht="39.55" hidden="false" customHeight="false" outlineLevel="0" collapsed="false">
      <c r="A1" s="22" t="s">
        <v>255</v>
      </c>
      <c r="B1" s="22" t="s">
        <v>126</v>
      </c>
      <c r="C1" s="22" t="s">
        <v>174</v>
      </c>
      <c r="D1" s="22" t="s">
        <v>256</v>
      </c>
      <c r="E1" s="22" t="s">
        <v>257</v>
      </c>
      <c r="F1" s="22" t="s">
        <v>258</v>
      </c>
      <c r="G1" s="22" t="s">
        <v>259</v>
      </c>
      <c r="H1" s="22" t="s">
        <v>260</v>
      </c>
      <c r="I1" s="22" t="s">
        <v>261</v>
      </c>
      <c r="J1" s="22" t="s">
        <v>262</v>
      </c>
      <c r="K1" s="22" t="s">
        <v>263</v>
      </c>
      <c r="L1" s="22" t="s">
        <v>264</v>
      </c>
      <c r="M1" s="22" t="s">
        <v>265</v>
      </c>
      <c r="N1" s="22" t="s">
        <v>266</v>
      </c>
      <c r="O1" s="22" t="s">
        <v>267</v>
      </c>
      <c r="P1" s="22" t="s">
        <v>23</v>
      </c>
      <c r="Q1" s="22" t="s">
        <v>28</v>
      </c>
    </row>
    <row r="2" customFormat="false" ht="15" hidden="false" customHeight="false" outlineLevel="0" collapsed="false">
      <c r="A2" s="15" t="s">
        <v>268</v>
      </c>
      <c r="B2" s="15" t="s">
        <v>269</v>
      </c>
      <c r="C2" s="15" t="s">
        <v>270</v>
      </c>
      <c r="D2" s="15" t="s">
        <v>271</v>
      </c>
      <c r="E2" s="15" t="n">
        <v>95</v>
      </c>
      <c r="F2" s="15" t="n">
        <v>92</v>
      </c>
      <c r="G2" s="17" t="n">
        <f aca="false">IF(E2=0,0,F2/E2)</f>
        <v>0.968421052631579</v>
      </c>
      <c r="H2" s="15" t="s">
        <v>272</v>
      </c>
      <c r="I2" s="15" t="n">
        <v>0</v>
      </c>
      <c r="J2" s="15" t="n">
        <v>0</v>
      </c>
      <c r="K2" s="17" t="n">
        <f aca="false">IF(I2=0,0,J2/I2)</f>
        <v>0</v>
      </c>
      <c r="L2" s="15" t="s">
        <v>273</v>
      </c>
      <c r="M2" s="15" t="n">
        <v>1</v>
      </c>
      <c r="N2" s="15" t="n">
        <v>0</v>
      </c>
      <c r="O2" s="17" t="n">
        <f aca="false">IF(M2=0,0,N2/M2)</f>
        <v>0</v>
      </c>
      <c r="P2" s="15" t="s">
        <v>274</v>
      </c>
      <c r="Q2" s="15" t="s">
        <v>275</v>
      </c>
    </row>
    <row r="3" customFormat="false" ht="23.85" hidden="false" customHeight="false" outlineLevel="0" collapsed="false">
      <c r="A3" s="9" t="s">
        <v>276</v>
      </c>
      <c r="B3" s="9" t="s">
        <v>269</v>
      </c>
      <c r="C3" s="9" t="s">
        <v>270</v>
      </c>
      <c r="D3" s="9" t="s">
        <v>277</v>
      </c>
      <c r="E3" s="10" t="n">
        <v>100000</v>
      </c>
      <c r="F3" s="10" t="n">
        <v>48000</v>
      </c>
      <c r="G3" s="11" t="n">
        <f aca="false">IF(E3=0,0,F3/E3)</f>
        <v>0.48</v>
      </c>
      <c r="H3" s="9" t="s">
        <v>278</v>
      </c>
      <c r="I3" s="9" t="n">
        <v>3</v>
      </c>
      <c r="J3" s="9" t="n">
        <v>2</v>
      </c>
      <c r="K3" s="11" t="n">
        <f aca="false">IF(I3=0,0,J3/I3)</f>
        <v>0.666666666666667</v>
      </c>
      <c r="L3" s="9" t="s">
        <v>279</v>
      </c>
      <c r="M3" s="9" t="n">
        <v>2</v>
      </c>
      <c r="N3" s="9" t="n">
        <v>1</v>
      </c>
      <c r="O3" s="11" t="n">
        <f aca="false">IF(M3=0,0,N3/M3)</f>
        <v>0.5</v>
      </c>
      <c r="P3" s="9" t="s">
        <v>280</v>
      </c>
      <c r="Q3" s="9" t="s">
        <v>281</v>
      </c>
    </row>
    <row r="4" customFormat="false" ht="15" hidden="false" customHeight="false" outlineLevel="0" collapsed="false">
      <c r="A4" s="15" t="s">
        <v>282</v>
      </c>
      <c r="B4" s="15" t="s">
        <v>283</v>
      </c>
      <c r="C4" s="15" t="s">
        <v>184</v>
      </c>
      <c r="D4" s="15" t="s">
        <v>284</v>
      </c>
      <c r="E4" s="15" t="n">
        <v>4</v>
      </c>
      <c r="F4" s="15" t="n">
        <v>4.1</v>
      </c>
      <c r="G4" s="17" t="n">
        <f aca="false">IF(E4=0,0,F4/E4)</f>
        <v>1.025</v>
      </c>
      <c r="H4" s="15" t="s">
        <v>285</v>
      </c>
      <c r="I4" s="15" t="n">
        <v>8</v>
      </c>
      <c r="J4" s="15" t="n">
        <v>8</v>
      </c>
      <c r="K4" s="17" t="n">
        <f aca="false">IF(I4=0,0,J4/I4)</f>
        <v>1</v>
      </c>
      <c r="L4" s="15" t="s">
        <v>286</v>
      </c>
      <c r="M4" s="15" t="n">
        <v>4</v>
      </c>
      <c r="N4" s="15" t="n">
        <v>3.8</v>
      </c>
      <c r="O4" s="17" t="n">
        <f aca="false">IF(M4=0,0,N4/M4)</f>
        <v>0.95</v>
      </c>
      <c r="P4" s="15" t="s">
        <v>287</v>
      </c>
      <c r="Q4" s="15" t="s">
        <v>288</v>
      </c>
    </row>
  </sheetData>
  <autoFilter ref="A1:Q50"/>
  <conditionalFormatting sqref="G2:G50">
    <cfRule type="dataBar" priority="2">
      <dataBar showValue="1" minLength="10" maxLength="90">
        <cfvo type="num" val="0"/>
        <cfvo type="num" val="1"/>
        <color rgb="FF1A5C99"/>
      </dataBar>
      <extLst>
        <ext xmlns:x14="http://schemas.microsoft.com/office/spreadsheetml/2009/9/main" uri="{B025F937-C7B1-47D3-B67F-A62EFF666E3E}">
          <x14:id>{66A17088-91F9-4032-866D-E6C0DEB03C9B}</x14:id>
        </ext>
      </extLst>
    </cfRule>
  </conditionalFormatting>
  <conditionalFormatting sqref="K2:K50">
    <cfRule type="dataBar" priority="3">
      <dataBar showValue="1" minLength="10" maxLength="90">
        <cfvo type="num" val="0"/>
        <cfvo type="num" val="1"/>
        <color rgb="FF1A5C99"/>
      </dataBar>
      <extLst>
        <ext xmlns:x14="http://schemas.microsoft.com/office/spreadsheetml/2009/9/main" uri="{B025F937-C7B1-47D3-B67F-A62EFF666E3E}">
          <x14:id>{90A6FAAB-4C2D-4384-9920-8230CFE8563C}</x14:id>
        </ext>
      </extLst>
    </cfRule>
  </conditionalFormatting>
  <conditionalFormatting sqref="O2:O50">
    <cfRule type="dataBar" priority="4">
      <dataBar showValue="1" minLength="10" maxLength="90">
        <cfvo type="num" val="0"/>
        <cfvo type="num" val="1"/>
        <color rgb="FF1A5C99"/>
      </dataBar>
      <extLst>
        <ext xmlns:x14="http://schemas.microsoft.com/office/spreadsheetml/2009/9/main" uri="{B025F937-C7B1-47D3-B67F-A62EFF666E3E}">
          <x14:id>{A080B426-4652-4D1C-A673-6FBD58BED918}</x14:id>
        </ext>
      </extLst>
    </cfRule>
  </conditionalFormatting>
  <conditionalFormatting sqref="P2:P50">
    <cfRule type="cellIs" priority="5" operator="equal" aboveAverage="0" equalAverage="0" bottom="0" percent="0" rank="0" text="" dxfId="10">
      <formula>"Achieved"</formula>
    </cfRule>
    <cfRule type="cellIs" priority="6" operator="equal" aboveAverage="0" equalAverage="0" bottom="0" percent="0" rank="0" text="" dxfId="11">
      <formula>"At Risk"</formula>
    </cfRule>
    <cfRule type="cellIs" priority="7" operator="equal" aboveAverage="0" equalAverage="0" bottom="0" percent="0" rank="0" text="" dxfId="12">
      <formula>"Behind"</formula>
    </cfRule>
  </conditionalFormatting>
  <dataValidations count="2">
    <dataValidation allowBlank="true" error="Please select from the dropdown" errorStyle="stop" errorTitle="Invalid entry" operator="between" showDropDown="false" showErrorMessage="false" showInputMessage="false" sqref="B2:B50" type="list">
      <formula1>"Company,Team,Personal"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P2:P50" type="list">
      <formula1>"On Track,At Risk,Behind,Achieved"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17088-91F9-4032-866D-E6C0DEB03C9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A5C99"/>
              <x14:axisColor rgb="FF000000"/>
            </x14:dataBar>
          </x14:cfRule>
          <xm:sqref>G2:G50</xm:sqref>
        </x14:conditionalFormatting>
        <x14:conditionalFormatting xmlns:xm="http://schemas.microsoft.com/office/excel/2006/main">
          <x14:cfRule type="dataBar" id="{90A6FAAB-4C2D-4384-9920-8230CFE8563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A5C99"/>
              <x14:axisColor rgb="FF000000"/>
            </x14:dataBar>
          </x14:cfRule>
          <xm:sqref>K2:K50</xm:sqref>
        </x14:conditionalFormatting>
        <x14:conditionalFormatting xmlns:xm="http://schemas.microsoft.com/office/excel/2006/main">
          <x14:cfRule type="dataBar" id="{A080B426-4652-4D1C-A673-6FBD58BED91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A5C99"/>
              <x14:axisColor rgb="FF000000"/>
            </x14:dataBar>
          </x14:cfRule>
          <xm:sqref>O2:O50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3640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22" t="s">
        <v>289</v>
      </c>
      <c r="B1" s="22" t="s">
        <v>32</v>
      </c>
      <c r="C1" s="22" t="s">
        <v>27</v>
      </c>
      <c r="D1" s="22" t="s">
        <v>290</v>
      </c>
      <c r="E1" s="22" t="s">
        <v>126</v>
      </c>
      <c r="F1" s="22" t="s">
        <v>33</v>
      </c>
      <c r="G1" s="22" t="s">
        <v>169</v>
      </c>
      <c r="H1" s="22" t="s">
        <v>291</v>
      </c>
    </row>
    <row r="2" customFormat="false" ht="23.85" hidden="false" customHeight="false" outlineLevel="0" collapsed="false">
      <c r="A2" s="15" t="s">
        <v>292</v>
      </c>
      <c r="B2" s="23" t="n">
        <v>46111</v>
      </c>
      <c r="C2" s="15" t="s">
        <v>293</v>
      </c>
      <c r="D2" s="15" t="s">
        <v>294</v>
      </c>
      <c r="E2" s="15" t="s">
        <v>295</v>
      </c>
      <c r="F2" s="15" t="s">
        <v>296</v>
      </c>
      <c r="G2" s="15" t="s">
        <v>297</v>
      </c>
      <c r="H2" s="15" t="s">
        <v>141</v>
      </c>
    </row>
    <row r="3" customFormat="false" ht="23.85" hidden="false" customHeight="false" outlineLevel="0" collapsed="false">
      <c r="A3" s="9" t="s">
        <v>298</v>
      </c>
      <c r="B3" s="25" t="n">
        <v>46068</v>
      </c>
      <c r="C3" s="9" t="s">
        <v>299</v>
      </c>
      <c r="D3" s="9" t="s">
        <v>300</v>
      </c>
      <c r="E3" s="9" t="s">
        <v>301</v>
      </c>
      <c r="F3" s="9" t="s">
        <v>207</v>
      </c>
      <c r="G3" s="9"/>
      <c r="H3" s="9"/>
    </row>
    <row r="4" customFormat="false" ht="23.85" hidden="false" customHeight="false" outlineLevel="0" collapsed="false">
      <c r="A4" s="15" t="s">
        <v>302</v>
      </c>
      <c r="B4" s="23" t="n">
        <v>46073</v>
      </c>
      <c r="C4" s="15" t="s">
        <v>303</v>
      </c>
      <c r="D4" s="15" t="s">
        <v>304</v>
      </c>
      <c r="E4" s="15" t="s">
        <v>295</v>
      </c>
      <c r="F4" s="15" t="s">
        <v>296</v>
      </c>
      <c r="G4" s="15" t="s">
        <v>305</v>
      </c>
      <c r="H4" s="15" t="s">
        <v>141</v>
      </c>
    </row>
    <row r="5" customFormat="false" ht="23.85" hidden="false" customHeight="false" outlineLevel="0" collapsed="false">
      <c r="A5" s="9" t="s">
        <v>306</v>
      </c>
      <c r="B5" s="25" t="n">
        <v>46052</v>
      </c>
      <c r="C5" s="9" t="s">
        <v>293</v>
      </c>
      <c r="D5" s="9" t="s">
        <v>294</v>
      </c>
      <c r="E5" s="9" t="s">
        <v>301</v>
      </c>
      <c r="F5" s="9" t="s">
        <v>307</v>
      </c>
      <c r="G5" s="9"/>
      <c r="H5" s="9"/>
    </row>
  </sheetData>
  <autoFilter ref="A1:H200"/>
  <conditionalFormatting sqref="E2:E200">
    <cfRule type="cellIs" priority="2" operator="equal" aboveAverage="0" equalAverage="0" bottom="0" percent="0" rank="0" text="" dxfId="10">
      <formula>"Positive"</formula>
    </cfRule>
    <cfRule type="cellIs" priority="3" operator="equal" aboveAverage="0" equalAverage="0" bottom="0" percent="0" rank="0" text="" dxfId="11">
      <formula>"Constructive"</formula>
    </cfRule>
  </conditionalFormatting>
  <dataValidations count="4">
    <dataValidation allowBlank="true" error="Please select from the dropdown" errorStyle="stop" errorTitle="Invalid entry" operator="between" showDropDown="false" showErrorMessage="false" showInputMessage="false" sqref="C2:C200" type="list">
      <formula1>"Manager,Peer,Customer,Self-reflection,Skip-level"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E2:E200" type="list">
      <formula1>"Positive,Constructive,Mixed"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F2:F200" type="list">
      <formula1>"Communication,Technical,Strategic,Process,Leadership,Cross-functional"</formula1>
      <formula2>0</formula2>
    </dataValidation>
    <dataValidation allowBlank="true" error="Please select from the dropdown" errorStyle="stop" errorTitle="Invalid entry" operator="between" showDropDown="false" showErrorMessage="false" showInputMessage="false" sqref="H2:H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B6F"/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3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2"/>
  </cols>
  <sheetData>
    <row r="2" customFormat="false" ht="22.05" hidden="false" customHeight="false" outlineLevel="0" collapsed="false">
      <c r="B2" s="27" t="s">
        <v>308</v>
      </c>
      <c r="C2" s="27"/>
      <c r="D2" s="27"/>
      <c r="E2" s="27"/>
      <c r="F2" s="27"/>
      <c r="G2" s="27"/>
    </row>
    <row r="3" customFormat="false" ht="15" hidden="false" customHeight="false" outlineLevel="0" collapsed="false">
      <c r="B3" s="2" t="s">
        <v>309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28" t="s">
        <v>310</v>
      </c>
      <c r="C5" s="28"/>
      <c r="D5" s="28"/>
      <c r="E5" s="28"/>
      <c r="F5" s="28"/>
      <c r="G5" s="28"/>
    </row>
    <row r="6" customFormat="false" ht="15" hidden="false" customHeight="false" outlineLevel="0" collapsed="false">
      <c r="B6" s="29" t="s">
        <v>311</v>
      </c>
      <c r="C6" s="30"/>
      <c r="D6" s="30"/>
      <c r="E6" s="30"/>
      <c r="F6" s="30"/>
      <c r="G6" s="30"/>
    </row>
    <row r="7" customFormat="false" ht="15" hidden="false" customHeight="false" outlineLevel="0" collapsed="false">
      <c r="B7" s="29" t="s">
        <v>312</v>
      </c>
      <c r="C7" s="30"/>
      <c r="D7" s="30"/>
      <c r="E7" s="30"/>
      <c r="F7" s="30"/>
      <c r="G7" s="30"/>
    </row>
    <row r="8" customFormat="false" ht="15" hidden="false" customHeight="false" outlineLevel="0" collapsed="false">
      <c r="B8" s="29" t="s">
        <v>313</v>
      </c>
      <c r="C8" s="30"/>
      <c r="D8" s="30"/>
      <c r="E8" s="30"/>
      <c r="F8" s="30"/>
      <c r="G8" s="30"/>
    </row>
    <row r="9" customFormat="false" ht="15" hidden="false" customHeight="false" outlineLevel="0" collapsed="false">
      <c r="B9" s="29" t="s">
        <v>314</v>
      </c>
      <c r="C9" s="30"/>
      <c r="D9" s="30"/>
      <c r="E9" s="30"/>
      <c r="F9" s="30"/>
      <c r="G9" s="30"/>
    </row>
    <row r="10" customFormat="false" ht="15" hidden="false" customHeight="false" outlineLevel="0" collapsed="false">
      <c r="B10" s="29" t="s">
        <v>315</v>
      </c>
      <c r="C10" s="30"/>
      <c r="D10" s="30"/>
      <c r="E10" s="30"/>
      <c r="F10" s="30"/>
      <c r="G10" s="30"/>
    </row>
    <row r="12" customFormat="false" ht="15" hidden="false" customHeight="false" outlineLevel="0" collapsed="false">
      <c r="B12" s="28" t="s">
        <v>316</v>
      </c>
      <c r="C12" s="28"/>
      <c r="D12" s="28"/>
      <c r="E12" s="28"/>
      <c r="F12" s="28"/>
      <c r="G12" s="28"/>
    </row>
    <row r="13" customFormat="false" ht="15" hidden="false" customHeight="false" outlineLevel="0" collapsed="false">
      <c r="B13" s="31" t="s">
        <v>31</v>
      </c>
      <c r="C13" s="31" t="s">
        <v>16</v>
      </c>
      <c r="D13" s="31" t="s">
        <v>317</v>
      </c>
      <c r="E13" s="31" t="s">
        <v>318</v>
      </c>
    </row>
    <row r="14" customFormat="false" ht="15" hidden="false" customHeight="false" outlineLevel="0" collapsed="false">
      <c r="B14" s="32"/>
      <c r="C14" s="32"/>
      <c r="D14" s="32"/>
      <c r="E14" s="32"/>
    </row>
    <row r="15" customFormat="false" ht="15" hidden="false" customHeight="false" outlineLevel="0" collapsed="false">
      <c r="B15" s="32"/>
      <c r="C15" s="32"/>
      <c r="D15" s="32"/>
      <c r="E15" s="32"/>
    </row>
    <row r="16" customFormat="false" ht="15" hidden="false" customHeight="false" outlineLevel="0" collapsed="false">
      <c r="B16" s="32"/>
      <c r="C16" s="32"/>
      <c r="D16" s="32"/>
      <c r="E16" s="32"/>
    </row>
    <row r="18" customFormat="false" ht="15" hidden="false" customHeight="false" outlineLevel="0" collapsed="false">
      <c r="B18" s="28" t="s">
        <v>319</v>
      </c>
      <c r="C18" s="28"/>
      <c r="D18" s="28"/>
      <c r="E18" s="28"/>
      <c r="F18" s="28"/>
      <c r="G18" s="28"/>
    </row>
    <row r="19" customFormat="false" ht="15" hidden="false" customHeight="false" outlineLevel="0" collapsed="false">
      <c r="B19" s="31" t="s">
        <v>16</v>
      </c>
      <c r="C19" s="31" t="s">
        <v>320</v>
      </c>
      <c r="D19" s="31" t="s">
        <v>321</v>
      </c>
      <c r="E19" s="31" t="s">
        <v>322</v>
      </c>
    </row>
    <row r="20" customFormat="false" ht="15" hidden="false" customHeight="false" outlineLevel="0" collapsed="false">
      <c r="B20" s="33"/>
      <c r="C20" s="33"/>
      <c r="D20" s="33"/>
      <c r="E20" s="33"/>
    </row>
    <row r="21" customFormat="false" ht="15" hidden="false" customHeight="false" outlineLevel="0" collapsed="false">
      <c r="B21" s="33"/>
      <c r="C21" s="33"/>
      <c r="D21" s="33"/>
      <c r="E21" s="33"/>
    </row>
    <row r="22" customFormat="false" ht="15" hidden="false" customHeight="false" outlineLevel="0" collapsed="false">
      <c r="B22" s="33"/>
      <c r="C22" s="33"/>
      <c r="D22" s="33"/>
      <c r="E22" s="33"/>
    </row>
    <row r="24" customFormat="false" ht="15" hidden="false" customHeight="false" outlineLevel="0" collapsed="false">
      <c r="B24" s="28" t="s">
        <v>323</v>
      </c>
      <c r="C24" s="28"/>
      <c r="D24" s="28"/>
      <c r="E24" s="28"/>
      <c r="F24" s="28"/>
      <c r="G24" s="28"/>
    </row>
    <row r="25" customFormat="false" ht="15" hidden="false" customHeight="false" outlineLevel="0" collapsed="false">
      <c r="B25" s="29" t="s">
        <v>311</v>
      </c>
      <c r="C25" s="30"/>
      <c r="D25" s="30"/>
      <c r="E25" s="30"/>
      <c r="F25" s="30"/>
      <c r="G25" s="30"/>
    </row>
    <row r="26" customFormat="false" ht="15" hidden="false" customHeight="false" outlineLevel="0" collapsed="false">
      <c r="B26" s="29" t="s">
        <v>312</v>
      </c>
      <c r="C26" s="30"/>
      <c r="D26" s="30"/>
      <c r="E26" s="30"/>
      <c r="F26" s="30"/>
      <c r="G26" s="30"/>
    </row>
    <row r="27" customFormat="false" ht="15" hidden="false" customHeight="false" outlineLevel="0" collapsed="false">
      <c r="B27" s="29" t="s">
        <v>313</v>
      </c>
      <c r="C27" s="30"/>
      <c r="D27" s="30"/>
      <c r="E27" s="30"/>
      <c r="F27" s="30"/>
      <c r="G27" s="30"/>
    </row>
    <row r="29" customFormat="false" ht="15" hidden="false" customHeight="false" outlineLevel="0" collapsed="false">
      <c r="B29" s="28" t="s">
        <v>324</v>
      </c>
      <c r="C29" s="28"/>
      <c r="D29" s="28"/>
      <c r="E29" s="28"/>
      <c r="F29" s="28"/>
      <c r="G29" s="28"/>
    </row>
    <row r="30" customFormat="false" ht="15" hidden="false" customHeight="false" outlineLevel="0" collapsed="false">
      <c r="B30" s="34"/>
      <c r="C30" s="34"/>
      <c r="D30" s="34"/>
      <c r="E30" s="34"/>
      <c r="F30" s="34"/>
      <c r="G30" s="34"/>
    </row>
    <row r="31" customFormat="false" ht="15" hidden="false" customHeight="false" outlineLevel="0" collapsed="false">
      <c r="B31" s="34"/>
      <c r="C31" s="34"/>
      <c r="D31" s="34"/>
      <c r="E31" s="34"/>
      <c r="F31" s="34"/>
      <c r="G31" s="34"/>
    </row>
    <row r="32" customFormat="false" ht="15" hidden="false" customHeight="false" outlineLevel="0" collapsed="false">
      <c r="B32" s="34"/>
      <c r="C32" s="34"/>
      <c r="D32" s="34"/>
      <c r="E32" s="34"/>
      <c r="F32" s="34"/>
      <c r="G32" s="34"/>
    </row>
    <row r="33" customFormat="false" ht="15" hidden="false" customHeight="false" outlineLevel="0" collapsed="false">
      <c r="B33" s="34"/>
      <c r="C33" s="34"/>
      <c r="D33" s="34"/>
      <c r="E33" s="34"/>
      <c r="F33" s="34"/>
      <c r="G33" s="34"/>
    </row>
  </sheetData>
  <mergeCells count="16">
    <mergeCell ref="B2:G2"/>
    <mergeCell ref="B3:G3"/>
    <mergeCell ref="B5:G5"/>
    <mergeCell ref="C6:G6"/>
    <mergeCell ref="C7:G7"/>
    <mergeCell ref="C8:G8"/>
    <mergeCell ref="C9:G9"/>
    <mergeCell ref="C10:G10"/>
    <mergeCell ref="B12:G12"/>
    <mergeCell ref="B18:G18"/>
    <mergeCell ref="B24:G24"/>
    <mergeCell ref="C25:G25"/>
    <mergeCell ref="C26:G26"/>
    <mergeCell ref="C27:G27"/>
    <mergeCell ref="B29:G29"/>
    <mergeCell ref="B30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3640"/>
    <pageSetUpPr fitToPage="false"/>
  </sheetPr>
  <dimension ref="B2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0"/>
    <col collapsed="false" customWidth="true" hidden="false" outlineLevel="0" max="3" min="3" style="0" width="2"/>
  </cols>
  <sheetData>
    <row r="2" customFormat="false" ht="19.5" hidden="false" customHeight="true" outlineLevel="0" collapsed="false">
      <c r="B2" s="35" t="s">
        <v>325</v>
      </c>
    </row>
    <row r="3" customFormat="false" ht="9.75" hidden="false" customHeight="true" outlineLevel="0" collapsed="false"/>
    <row r="4" customFormat="false" ht="19.5" hidden="false" customHeight="true" outlineLevel="0" collapsed="false">
      <c r="B4" s="36" t="s">
        <v>326</v>
      </c>
    </row>
    <row r="5" customFormat="false" ht="19.5" hidden="false" customHeight="true" outlineLevel="0" collapsed="false">
      <c r="B5" s="37" t="s">
        <v>327</v>
      </c>
    </row>
    <row r="6" customFormat="false" ht="19.5" hidden="false" customHeight="true" outlineLevel="0" collapsed="false">
      <c r="B6" s="37" t="s">
        <v>328</v>
      </c>
    </row>
    <row r="7" customFormat="false" ht="19.5" hidden="false" customHeight="true" outlineLevel="0" collapsed="false">
      <c r="B7" s="37" t="s">
        <v>329</v>
      </c>
    </row>
    <row r="8" customFormat="false" ht="19.5" hidden="false" customHeight="true" outlineLevel="0" collapsed="false">
      <c r="B8" s="37" t="s">
        <v>330</v>
      </c>
    </row>
    <row r="9" customFormat="false" ht="19.5" hidden="false" customHeight="true" outlineLevel="0" collapsed="false">
      <c r="B9" s="37" t="s">
        <v>331</v>
      </c>
    </row>
    <row r="10" customFormat="false" ht="9.75" hidden="false" customHeight="true" outlineLevel="0" collapsed="false"/>
    <row r="11" customFormat="false" ht="19.5" hidden="false" customHeight="true" outlineLevel="0" collapsed="false">
      <c r="B11" s="36" t="s">
        <v>332</v>
      </c>
    </row>
    <row r="12" customFormat="false" ht="19.5" hidden="false" customHeight="true" outlineLevel="0" collapsed="false">
      <c r="B12" s="37" t="s">
        <v>333</v>
      </c>
    </row>
    <row r="13" customFormat="false" ht="19.5" hidden="false" customHeight="true" outlineLevel="0" collapsed="false">
      <c r="B13" s="37" t="s">
        <v>334</v>
      </c>
    </row>
    <row r="14" customFormat="false" ht="19.5" hidden="false" customHeight="true" outlineLevel="0" collapsed="false">
      <c r="B14" s="37" t="s">
        <v>335</v>
      </c>
    </row>
    <row r="15" customFormat="false" ht="9.75" hidden="false" customHeight="true" outlineLevel="0" collapsed="false"/>
    <row r="16" customFormat="false" ht="19.5" hidden="false" customHeight="true" outlineLevel="0" collapsed="false">
      <c r="B16" s="36" t="s">
        <v>336</v>
      </c>
    </row>
    <row r="17" customFormat="false" ht="19.5" hidden="false" customHeight="true" outlineLevel="0" collapsed="false">
      <c r="B17" s="37" t="s">
        <v>337</v>
      </c>
    </row>
    <row r="18" customFormat="false" ht="19.5" hidden="false" customHeight="true" outlineLevel="0" collapsed="false">
      <c r="B18" s="37" t="s">
        <v>338</v>
      </c>
    </row>
    <row r="19" customFormat="false" ht="19.5" hidden="false" customHeight="true" outlineLevel="0" collapsed="false">
      <c r="B19" s="37" t="s">
        <v>339</v>
      </c>
    </row>
    <row r="20" customFormat="false" ht="19.5" hidden="false" customHeight="true" outlineLevel="0" collapsed="false">
      <c r="B20" s="37" t="s">
        <v>340</v>
      </c>
    </row>
    <row r="21" customFormat="false" ht="9.75" hidden="false" customHeight="true" outlineLevel="0" collapsed="false"/>
    <row r="22" customFormat="false" ht="19.5" hidden="false" customHeight="true" outlineLevel="0" collapsed="false">
      <c r="B22" s="36" t="s">
        <v>341</v>
      </c>
    </row>
    <row r="23" customFormat="false" ht="19.5" hidden="false" customHeight="true" outlineLevel="0" collapsed="false">
      <c r="B23" s="37" t="s">
        <v>342</v>
      </c>
    </row>
    <row r="24" customFormat="false" ht="19.5" hidden="false" customHeight="true" outlineLevel="0" collapsed="false">
      <c r="B24" s="37" t="s">
        <v>343</v>
      </c>
    </row>
    <row r="25" customFormat="false" ht="19.5" hidden="false" customHeight="true" outlineLevel="0" collapsed="false">
      <c r="B25" s="37" t="s">
        <v>344</v>
      </c>
    </row>
    <row r="26" customFormat="false" ht="19.5" hidden="false" customHeight="true" outlineLevel="0" collapsed="false">
      <c r="B26" s="37" t="s">
        <v>345</v>
      </c>
    </row>
    <row r="27" customFormat="false" ht="9.75" hidden="false" customHeight="true" outlineLevel="0" collapsed="false"/>
    <row r="28" customFormat="false" ht="19.5" hidden="false" customHeight="true" outlineLevel="0" collapsed="false">
      <c r="B28" s="36" t="s">
        <v>346</v>
      </c>
    </row>
    <row r="29" customFormat="false" ht="19.5" hidden="false" customHeight="true" outlineLevel="0" collapsed="false">
      <c r="B29" s="37" t="s">
        <v>347</v>
      </c>
    </row>
    <row r="30" customFormat="false" ht="19.5" hidden="false" customHeight="true" outlineLevel="0" collapsed="false">
      <c r="B30" s="37" t="s">
        <v>348</v>
      </c>
    </row>
    <row r="31" customFormat="false" ht="19.5" hidden="false" customHeight="true" outlineLevel="0" collapsed="false">
      <c r="B31" s="37" t="s">
        <v>349</v>
      </c>
    </row>
    <row r="32" customFormat="false" ht="19.5" hidden="false" customHeight="true" outlineLevel="0" collapsed="false">
      <c r="B32" s="37" t="s">
        <v>350</v>
      </c>
    </row>
    <row r="33" customFormat="false" ht="9.75" hidden="false" customHeight="true" outlineLevel="0" collapsed="false"/>
    <row r="34" customFormat="false" ht="19.5" hidden="false" customHeight="true" outlineLevel="0" collapsed="false">
      <c r="B34" s="36" t="s">
        <v>351</v>
      </c>
    </row>
    <row r="35" customFormat="false" ht="19.5" hidden="false" customHeight="true" outlineLevel="0" collapsed="false">
      <c r="B35" s="37" t="s">
        <v>352</v>
      </c>
    </row>
    <row r="36" customFormat="false" ht="19.5" hidden="false" customHeight="true" outlineLevel="0" collapsed="false">
      <c r="B36" s="37" t="s">
        <v>353</v>
      </c>
    </row>
    <row r="37" customFormat="false" ht="19.5" hidden="false" customHeight="true" outlineLevel="0" collapsed="false">
      <c r="B37" s="37" t="s">
        <v>354</v>
      </c>
    </row>
    <row r="38" customFormat="false" ht="19.5" hidden="false" customHeight="true" outlineLevel="0" collapsed="false">
      <c r="B38" s="37" t="s">
        <v>355</v>
      </c>
    </row>
    <row r="39" customFormat="false" ht="19.5" hidden="false" customHeight="true" outlineLevel="0" collapsed="false">
      <c r="B39" s="37" t="s">
        <v>356</v>
      </c>
    </row>
    <row r="40" customFormat="false" ht="9.75" hidden="false" customHeight="true" outlineLevel="0" collapsed="false"/>
    <row r="41" customFormat="false" ht="19.5" hidden="false" customHeight="true" outlineLevel="0" collapsed="false">
      <c r="B41" s="36" t="s">
        <v>357</v>
      </c>
    </row>
    <row r="42" customFormat="false" ht="19.5" hidden="false" customHeight="true" outlineLevel="0" collapsed="false">
      <c r="B42" s="37" t="s">
        <v>358</v>
      </c>
    </row>
    <row r="43" customFormat="false" ht="19.5" hidden="false" customHeight="true" outlineLevel="0" collapsed="false">
      <c r="B43" s="37" t="s">
        <v>359</v>
      </c>
    </row>
    <row r="44" customFormat="false" ht="19.5" hidden="false" customHeight="true" outlineLevel="0" collapsed="false">
      <c r="B44" s="37" t="s">
        <v>360</v>
      </c>
    </row>
    <row r="45" customFormat="false" ht="19.5" hidden="false" customHeight="true" outlineLevel="0" collapsed="false">
      <c r="B45" s="37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2026-04-02T22:41:27Z</dcterms:created>
  <dc:creator>openpyxl</dc:creator>
  <dc:description/>
  <dc:language>en-US</dc:language>
  <cp:lastModifiedBy/>
  <dcterms:modified xsi:type="dcterms:W3CDTF">2026-04-02T22:41:27Z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